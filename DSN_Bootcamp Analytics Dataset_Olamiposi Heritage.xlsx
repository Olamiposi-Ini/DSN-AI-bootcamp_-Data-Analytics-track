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1f6bd8b48040ea/Desktop/DSN bootcamp/"/>
    </mc:Choice>
  </mc:AlternateContent>
  <xr:revisionPtr revIDLastSave="0" documentId="8_{BF6A5AFB-B67F-4361-9098-B6FF1915788F}" xr6:coauthVersionLast="47" xr6:coauthVersionMax="47" xr10:uidLastSave="{00000000-0000-0000-0000-000000000000}"/>
  <bookViews>
    <workbookView xWindow="1035" yWindow="1095" windowWidth="10515" windowHeight="9495" activeTab="1" xr2:uid="{1820017A-48C9-4458-AB1D-29731FDD63B2}"/>
  </bookViews>
  <sheets>
    <sheet name="in" sheetId="1" r:id="rId1"/>
    <sheet name="in (2)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2" i="2"/>
  <c r="M3" i="2"/>
  <c r="S3" i="2" s="1"/>
  <c r="M4" i="2"/>
  <c r="S4" i="2" s="1"/>
  <c r="M5" i="2"/>
  <c r="S5" i="2" s="1"/>
  <c r="M6" i="2"/>
  <c r="S6" i="2" s="1"/>
  <c r="M7" i="2"/>
  <c r="S7" i="2" s="1"/>
  <c r="M8" i="2"/>
  <c r="S8" i="2" s="1"/>
  <c r="M9" i="2"/>
  <c r="S9" i="2" s="1"/>
  <c r="M10" i="2"/>
  <c r="S10" i="2" s="1"/>
  <c r="M11" i="2"/>
  <c r="S11" i="2" s="1"/>
  <c r="M12" i="2"/>
  <c r="S12" i="2" s="1"/>
  <c r="M13" i="2"/>
  <c r="S13" i="2" s="1"/>
  <c r="M14" i="2"/>
  <c r="S14" i="2" s="1"/>
  <c r="M15" i="2"/>
  <c r="S15" i="2" s="1"/>
  <c r="M16" i="2"/>
  <c r="S16" i="2" s="1"/>
  <c r="M17" i="2"/>
  <c r="S17" i="2" s="1"/>
  <c r="M18" i="2"/>
  <c r="S18" i="2" s="1"/>
  <c r="M19" i="2"/>
  <c r="S19" i="2" s="1"/>
  <c r="M20" i="2"/>
  <c r="S20" i="2" s="1"/>
  <c r="M21" i="2"/>
  <c r="S21" i="2" s="1"/>
  <c r="M22" i="2"/>
  <c r="S22" i="2" s="1"/>
  <c r="M23" i="2"/>
  <c r="S23" i="2" s="1"/>
  <c r="M24" i="2"/>
  <c r="S24" i="2" s="1"/>
  <c r="M25" i="2"/>
  <c r="S25" i="2" s="1"/>
  <c r="M26" i="2"/>
  <c r="S26" i="2" s="1"/>
  <c r="M27" i="2"/>
  <c r="S27" i="2" s="1"/>
  <c r="M28" i="2"/>
  <c r="S28" i="2" s="1"/>
  <c r="M29" i="2"/>
  <c r="S29" i="2" s="1"/>
  <c r="M30" i="2"/>
  <c r="S30" i="2" s="1"/>
  <c r="M31" i="2"/>
  <c r="S31" i="2" s="1"/>
  <c r="M32" i="2"/>
  <c r="S32" i="2" s="1"/>
  <c r="M33" i="2"/>
  <c r="S33" i="2" s="1"/>
  <c r="M34" i="2"/>
  <c r="S34" i="2" s="1"/>
  <c r="M35" i="2"/>
  <c r="S35" i="2" s="1"/>
  <c r="M36" i="2"/>
  <c r="S36" i="2" s="1"/>
  <c r="M37" i="2"/>
  <c r="S37" i="2" s="1"/>
  <c r="M38" i="2"/>
  <c r="S38" i="2" s="1"/>
  <c r="M39" i="2"/>
  <c r="S39" i="2" s="1"/>
  <c r="M40" i="2"/>
  <c r="S40" i="2" s="1"/>
  <c r="M41" i="2"/>
  <c r="S41" i="2" s="1"/>
  <c r="M42" i="2"/>
  <c r="S42" i="2" s="1"/>
  <c r="M43" i="2"/>
  <c r="S43" i="2" s="1"/>
  <c r="M44" i="2"/>
  <c r="S44" i="2" s="1"/>
  <c r="M45" i="2"/>
  <c r="S45" i="2" s="1"/>
  <c r="M46" i="2"/>
  <c r="S46" i="2" s="1"/>
  <c r="M47" i="2"/>
  <c r="S47" i="2" s="1"/>
  <c r="M48" i="2"/>
  <c r="S48" i="2" s="1"/>
  <c r="M49" i="2"/>
  <c r="S49" i="2" s="1"/>
  <c r="M50" i="2"/>
  <c r="S50" i="2" s="1"/>
  <c r="M51" i="2"/>
  <c r="S51" i="2" s="1"/>
  <c r="M52" i="2"/>
  <c r="S52" i="2" s="1"/>
  <c r="M53" i="2"/>
  <c r="S53" i="2" s="1"/>
  <c r="M54" i="2"/>
  <c r="S54" i="2" s="1"/>
  <c r="M55" i="2"/>
  <c r="S55" i="2" s="1"/>
  <c r="M56" i="2"/>
  <c r="S56" i="2" s="1"/>
  <c r="M57" i="2"/>
  <c r="S57" i="2" s="1"/>
  <c r="M58" i="2"/>
  <c r="S58" i="2" s="1"/>
  <c r="M59" i="2"/>
  <c r="S59" i="2" s="1"/>
  <c r="M60" i="2"/>
  <c r="S60" i="2" s="1"/>
  <c r="M61" i="2"/>
  <c r="S61" i="2" s="1"/>
  <c r="M62" i="2"/>
  <c r="S62" i="2" s="1"/>
  <c r="M63" i="2"/>
  <c r="S63" i="2" s="1"/>
  <c r="M64" i="2"/>
  <c r="S64" i="2" s="1"/>
  <c r="M65" i="2"/>
  <c r="S65" i="2" s="1"/>
  <c r="M66" i="2"/>
  <c r="S66" i="2" s="1"/>
  <c r="M67" i="2"/>
  <c r="S67" i="2" s="1"/>
  <c r="M68" i="2"/>
  <c r="S68" i="2" s="1"/>
  <c r="M69" i="2"/>
  <c r="S69" i="2" s="1"/>
  <c r="M70" i="2"/>
  <c r="S70" i="2" s="1"/>
  <c r="M71" i="2"/>
  <c r="S71" i="2" s="1"/>
  <c r="M72" i="2"/>
  <c r="S72" i="2" s="1"/>
  <c r="M73" i="2"/>
  <c r="S73" i="2" s="1"/>
  <c r="M74" i="2"/>
  <c r="S74" i="2" s="1"/>
  <c r="M75" i="2"/>
  <c r="S75" i="2" s="1"/>
  <c r="M76" i="2"/>
  <c r="S76" i="2" s="1"/>
  <c r="M77" i="2"/>
  <c r="S77" i="2" s="1"/>
  <c r="M78" i="2"/>
  <c r="S78" i="2" s="1"/>
  <c r="M79" i="2"/>
  <c r="S79" i="2" s="1"/>
  <c r="M80" i="2"/>
  <c r="S80" i="2" s="1"/>
  <c r="M81" i="2"/>
  <c r="S81" i="2" s="1"/>
  <c r="M82" i="2"/>
  <c r="S82" i="2" s="1"/>
  <c r="M83" i="2"/>
  <c r="M84" i="2"/>
  <c r="S84" i="2" s="1"/>
  <c r="M85" i="2"/>
  <c r="S85" i="2" s="1"/>
  <c r="M86" i="2"/>
  <c r="S86" i="2" s="1"/>
  <c r="M87" i="2"/>
  <c r="S87" i="2" s="1"/>
  <c r="M88" i="2"/>
  <c r="S88" i="2" s="1"/>
  <c r="M89" i="2"/>
  <c r="S89" i="2" s="1"/>
  <c r="M90" i="2"/>
  <c r="S90" i="2" s="1"/>
  <c r="M91" i="2"/>
  <c r="S91" i="2" s="1"/>
  <c r="M92" i="2"/>
  <c r="S92" i="2" s="1"/>
  <c r="M93" i="2"/>
  <c r="S93" i="2" s="1"/>
  <c r="M94" i="2"/>
  <c r="S94" i="2" s="1"/>
  <c r="M95" i="2"/>
  <c r="S95" i="2" s="1"/>
  <c r="M96" i="2"/>
  <c r="S96" i="2" s="1"/>
  <c r="M97" i="2"/>
  <c r="S97" i="2" s="1"/>
  <c r="M98" i="2"/>
  <c r="S98" i="2" s="1"/>
  <c r="M99" i="2"/>
  <c r="S99" i="2" s="1"/>
  <c r="M100" i="2"/>
  <c r="S100" i="2" s="1"/>
  <c r="M101" i="2"/>
  <c r="S101" i="2" s="1"/>
  <c r="M102" i="2"/>
  <c r="S102" i="2" s="1"/>
  <c r="M103" i="2"/>
  <c r="S103" i="2" s="1"/>
  <c r="M104" i="2"/>
  <c r="S104" i="2" s="1"/>
  <c r="M105" i="2"/>
  <c r="S105" i="2" s="1"/>
  <c r="M106" i="2"/>
  <c r="S106" i="2" s="1"/>
  <c r="M107" i="2"/>
  <c r="S107" i="2" s="1"/>
  <c r="M108" i="2"/>
  <c r="S108" i="2" s="1"/>
  <c r="M109" i="2"/>
  <c r="S109" i="2" s="1"/>
  <c r="M110" i="2"/>
  <c r="S110" i="2" s="1"/>
  <c r="M111" i="2"/>
  <c r="S111" i="2" s="1"/>
  <c r="M112" i="2"/>
  <c r="R112" i="2" s="1"/>
  <c r="M113" i="2"/>
  <c r="S113" i="2" s="1"/>
  <c r="M114" i="2"/>
  <c r="S114" i="2" s="1"/>
  <c r="M115" i="2"/>
  <c r="S115" i="2" s="1"/>
  <c r="M116" i="2"/>
  <c r="S116" i="2" s="1"/>
  <c r="M117" i="2"/>
  <c r="S117" i="2" s="1"/>
  <c r="M118" i="2"/>
  <c r="S118" i="2" s="1"/>
  <c r="M119" i="2"/>
  <c r="S119" i="2" s="1"/>
  <c r="M120" i="2"/>
  <c r="S120" i="2" s="1"/>
  <c r="M121" i="2"/>
  <c r="S121" i="2" s="1"/>
  <c r="M122" i="2"/>
  <c r="S122" i="2" s="1"/>
  <c r="M123" i="2"/>
  <c r="S123" i="2" s="1"/>
  <c r="M124" i="2"/>
  <c r="S124" i="2" s="1"/>
  <c r="M125" i="2"/>
  <c r="S125" i="2" s="1"/>
  <c r="M126" i="2"/>
  <c r="S126" i="2" s="1"/>
  <c r="M127" i="2"/>
  <c r="S127" i="2" s="1"/>
  <c r="M128" i="2"/>
  <c r="S128" i="2" s="1"/>
  <c r="M129" i="2"/>
  <c r="S129" i="2" s="1"/>
  <c r="M130" i="2"/>
  <c r="S130" i="2" s="1"/>
  <c r="M131" i="2"/>
  <c r="S131" i="2" s="1"/>
  <c r="M132" i="2"/>
  <c r="S132" i="2" s="1"/>
  <c r="M133" i="2"/>
  <c r="S133" i="2" s="1"/>
  <c r="M134" i="2"/>
  <c r="S134" i="2" s="1"/>
  <c r="M135" i="2"/>
  <c r="S135" i="2" s="1"/>
  <c r="M136" i="2"/>
  <c r="S136" i="2" s="1"/>
  <c r="M137" i="2"/>
  <c r="S137" i="2" s="1"/>
  <c r="M138" i="2"/>
  <c r="S138" i="2" s="1"/>
  <c r="M139" i="2"/>
  <c r="S139" i="2" s="1"/>
  <c r="M140" i="2"/>
  <c r="S140" i="2" s="1"/>
  <c r="M141" i="2"/>
  <c r="S141" i="2" s="1"/>
  <c r="M142" i="2"/>
  <c r="S142" i="2" s="1"/>
  <c r="M143" i="2"/>
  <c r="S143" i="2" s="1"/>
  <c r="M144" i="2"/>
  <c r="S144" i="2" s="1"/>
  <c r="M145" i="2"/>
  <c r="S145" i="2" s="1"/>
  <c r="M146" i="2"/>
  <c r="S146" i="2" s="1"/>
  <c r="M147" i="2"/>
  <c r="S147" i="2" s="1"/>
  <c r="M148" i="2"/>
  <c r="S148" i="2" s="1"/>
  <c r="M149" i="2"/>
  <c r="S149" i="2" s="1"/>
  <c r="M150" i="2"/>
  <c r="S150" i="2" s="1"/>
  <c r="M151" i="2"/>
  <c r="S151" i="2" s="1"/>
  <c r="M152" i="2"/>
  <c r="S152" i="2" s="1"/>
  <c r="M153" i="2"/>
  <c r="S153" i="2" s="1"/>
  <c r="M154" i="2"/>
  <c r="S154" i="2" s="1"/>
  <c r="M155" i="2"/>
  <c r="S155" i="2" s="1"/>
  <c r="M156" i="2"/>
  <c r="S156" i="2" s="1"/>
  <c r="M157" i="2"/>
  <c r="S157" i="2" s="1"/>
  <c r="M158" i="2"/>
  <c r="S158" i="2" s="1"/>
  <c r="M159" i="2"/>
  <c r="S159" i="2" s="1"/>
  <c r="M160" i="2"/>
  <c r="S160" i="2" s="1"/>
  <c r="M161" i="2"/>
  <c r="S161" i="2" s="1"/>
  <c r="M162" i="2"/>
  <c r="S162" i="2" s="1"/>
  <c r="M163" i="2"/>
  <c r="S163" i="2" s="1"/>
  <c r="M164" i="2"/>
  <c r="S164" i="2" s="1"/>
  <c r="M165" i="2"/>
  <c r="S165" i="2" s="1"/>
  <c r="M166" i="2"/>
  <c r="S166" i="2" s="1"/>
  <c r="M167" i="2"/>
  <c r="S167" i="2" s="1"/>
  <c r="M168" i="2"/>
  <c r="S168" i="2" s="1"/>
  <c r="M169" i="2"/>
  <c r="S169" i="2" s="1"/>
  <c r="M170" i="2"/>
  <c r="S170" i="2" s="1"/>
  <c r="M171" i="2"/>
  <c r="S171" i="2" s="1"/>
  <c r="M172" i="2"/>
  <c r="S172" i="2" s="1"/>
  <c r="M173" i="2"/>
  <c r="S173" i="2" s="1"/>
  <c r="M174" i="2"/>
  <c r="S174" i="2" s="1"/>
  <c r="M175" i="2"/>
  <c r="S175" i="2" s="1"/>
  <c r="M176" i="2"/>
  <c r="S176" i="2" s="1"/>
  <c r="M177" i="2"/>
  <c r="S177" i="2" s="1"/>
  <c r="M178" i="2"/>
  <c r="S178" i="2" s="1"/>
  <c r="M179" i="2"/>
  <c r="S179" i="2" s="1"/>
  <c r="M180" i="2"/>
  <c r="S180" i="2" s="1"/>
  <c r="M181" i="2"/>
  <c r="S181" i="2" s="1"/>
  <c r="M182" i="2"/>
  <c r="S182" i="2" s="1"/>
  <c r="M183" i="2"/>
  <c r="S183" i="2" s="1"/>
  <c r="M184" i="2"/>
  <c r="S184" i="2" s="1"/>
  <c r="M185" i="2"/>
  <c r="S185" i="2" s="1"/>
  <c r="M186" i="2"/>
  <c r="S186" i="2" s="1"/>
  <c r="M187" i="2"/>
  <c r="S187" i="2" s="1"/>
  <c r="M188" i="2"/>
  <c r="S188" i="2" s="1"/>
  <c r="M189" i="2"/>
  <c r="S189" i="2" s="1"/>
  <c r="M190" i="2"/>
  <c r="S190" i="2" s="1"/>
  <c r="M191" i="2"/>
  <c r="S191" i="2" s="1"/>
  <c r="M192" i="2"/>
  <c r="S192" i="2" s="1"/>
  <c r="M193" i="2"/>
  <c r="S193" i="2" s="1"/>
  <c r="M194" i="2"/>
  <c r="S194" i="2" s="1"/>
  <c r="M195" i="2"/>
  <c r="S195" i="2" s="1"/>
  <c r="M196" i="2"/>
  <c r="S196" i="2" s="1"/>
  <c r="M197" i="2"/>
  <c r="M198" i="2"/>
  <c r="S198" i="2" s="1"/>
  <c r="M199" i="2"/>
  <c r="S199" i="2" s="1"/>
  <c r="M200" i="2"/>
  <c r="S200" i="2" s="1"/>
  <c r="M201" i="2"/>
  <c r="S201" i="2" s="1"/>
  <c r="M202" i="2"/>
  <c r="S202" i="2" s="1"/>
  <c r="M203" i="2"/>
  <c r="S203" i="2" s="1"/>
  <c r="M204" i="2"/>
  <c r="S204" i="2" s="1"/>
  <c r="M205" i="2"/>
  <c r="S205" i="2" s="1"/>
  <c r="M206" i="2"/>
  <c r="S206" i="2" s="1"/>
  <c r="M207" i="2"/>
  <c r="S207" i="2" s="1"/>
  <c r="M208" i="2"/>
  <c r="S208" i="2" s="1"/>
  <c r="M209" i="2"/>
  <c r="S209" i="2" s="1"/>
  <c r="M210" i="2"/>
  <c r="S210" i="2" s="1"/>
  <c r="M211" i="2"/>
  <c r="S211" i="2" s="1"/>
  <c r="M212" i="2"/>
  <c r="S212" i="2" s="1"/>
  <c r="M213" i="2"/>
  <c r="S213" i="2" s="1"/>
  <c r="M214" i="2"/>
  <c r="S214" i="2" s="1"/>
  <c r="M215" i="2"/>
  <c r="S215" i="2" s="1"/>
  <c r="M216" i="2"/>
  <c r="S216" i="2" s="1"/>
  <c r="M217" i="2"/>
  <c r="S217" i="2" s="1"/>
  <c r="M218" i="2"/>
  <c r="S218" i="2" s="1"/>
  <c r="M219" i="2"/>
  <c r="S219" i="2" s="1"/>
  <c r="M220" i="2"/>
  <c r="S220" i="2" s="1"/>
  <c r="M221" i="2"/>
  <c r="S221" i="2" s="1"/>
  <c r="M222" i="2"/>
  <c r="S222" i="2" s="1"/>
  <c r="M223" i="2"/>
  <c r="S223" i="2" s="1"/>
  <c r="M224" i="2"/>
  <c r="S224" i="2" s="1"/>
  <c r="M225" i="2"/>
  <c r="M226" i="2"/>
  <c r="S226" i="2" s="1"/>
  <c r="M227" i="2"/>
  <c r="S227" i="2" s="1"/>
  <c r="M228" i="2"/>
  <c r="S228" i="2" s="1"/>
  <c r="M229" i="2"/>
  <c r="S229" i="2" s="1"/>
  <c r="M230" i="2"/>
  <c r="S230" i="2" s="1"/>
  <c r="M231" i="2"/>
  <c r="S231" i="2" s="1"/>
  <c r="M232" i="2"/>
  <c r="S232" i="2" s="1"/>
  <c r="M233" i="2"/>
  <c r="S233" i="2" s="1"/>
  <c r="M234" i="2"/>
  <c r="S234" i="2" s="1"/>
  <c r="M235" i="2"/>
  <c r="S235" i="2" s="1"/>
  <c r="M236" i="2"/>
  <c r="S236" i="2" s="1"/>
  <c r="M237" i="2"/>
  <c r="S237" i="2" s="1"/>
  <c r="M238" i="2"/>
  <c r="S238" i="2" s="1"/>
  <c r="M239" i="2"/>
  <c r="S239" i="2" s="1"/>
  <c r="M240" i="2"/>
  <c r="S240" i="2" s="1"/>
  <c r="M241" i="2"/>
  <c r="S241" i="2" s="1"/>
  <c r="M242" i="2"/>
  <c r="S242" i="2" s="1"/>
  <c r="M243" i="2"/>
  <c r="S243" i="2" s="1"/>
  <c r="M244" i="2"/>
  <c r="S244" i="2" s="1"/>
  <c r="M245" i="2"/>
  <c r="S245" i="2" s="1"/>
  <c r="M246" i="2"/>
  <c r="S246" i="2" s="1"/>
  <c r="M247" i="2"/>
  <c r="S247" i="2" s="1"/>
  <c r="M248" i="2"/>
  <c r="S248" i="2" s="1"/>
  <c r="M249" i="2"/>
  <c r="S249" i="2" s="1"/>
  <c r="M250" i="2"/>
  <c r="S250" i="2" s="1"/>
  <c r="M251" i="2"/>
  <c r="S251" i="2" s="1"/>
  <c r="M252" i="2"/>
  <c r="S252" i="2" s="1"/>
  <c r="M253" i="2"/>
  <c r="R253" i="2" s="1"/>
  <c r="M254" i="2"/>
  <c r="S254" i="2" s="1"/>
  <c r="M255" i="2"/>
  <c r="S255" i="2" s="1"/>
  <c r="M256" i="2"/>
  <c r="S256" i="2" s="1"/>
  <c r="M257" i="2"/>
  <c r="S257" i="2" s="1"/>
  <c r="M258" i="2"/>
  <c r="S258" i="2" s="1"/>
  <c r="M259" i="2"/>
  <c r="S259" i="2" s="1"/>
  <c r="M260" i="2"/>
  <c r="S260" i="2" s="1"/>
  <c r="M261" i="2"/>
  <c r="S261" i="2" s="1"/>
  <c r="M262" i="2"/>
  <c r="S262" i="2" s="1"/>
  <c r="M263" i="2"/>
  <c r="S263" i="2" s="1"/>
  <c r="M264" i="2"/>
  <c r="S264" i="2" s="1"/>
  <c r="M265" i="2"/>
  <c r="S265" i="2" s="1"/>
  <c r="M266" i="2"/>
  <c r="S266" i="2" s="1"/>
  <c r="M267" i="2"/>
  <c r="S267" i="2" s="1"/>
  <c r="M268" i="2"/>
  <c r="S268" i="2" s="1"/>
  <c r="M269" i="2"/>
  <c r="S269" i="2" s="1"/>
  <c r="M270" i="2"/>
  <c r="S270" i="2" s="1"/>
  <c r="M271" i="2"/>
  <c r="S271" i="2" s="1"/>
  <c r="M272" i="2"/>
  <c r="S272" i="2" s="1"/>
  <c r="M273" i="2"/>
  <c r="S273" i="2" s="1"/>
  <c r="M274" i="2"/>
  <c r="S274" i="2" s="1"/>
  <c r="M275" i="2"/>
  <c r="S275" i="2" s="1"/>
  <c r="M276" i="2"/>
  <c r="S276" i="2" s="1"/>
  <c r="M277" i="2"/>
  <c r="S277" i="2" s="1"/>
  <c r="M278" i="2"/>
  <c r="S278" i="2" s="1"/>
  <c r="M279" i="2"/>
  <c r="S279" i="2" s="1"/>
  <c r="M280" i="2"/>
  <c r="S280" i="2" s="1"/>
  <c r="M281" i="2"/>
  <c r="S281" i="2" s="1"/>
  <c r="M282" i="2"/>
  <c r="S282" i="2" s="1"/>
  <c r="M283" i="2"/>
  <c r="M284" i="2"/>
  <c r="S284" i="2" s="1"/>
  <c r="M285" i="2"/>
  <c r="S285" i="2" s="1"/>
  <c r="M286" i="2"/>
  <c r="S286" i="2" s="1"/>
  <c r="M287" i="2"/>
  <c r="S287" i="2" s="1"/>
  <c r="M288" i="2"/>
  <c r="S288" i="2" s="1"/>
  <c r="M289" i="2"/>
  <c r="S289" i="2" s="1"/>
  <c r="M290" i="2"/>
  <c r="S290" i="2" s="1"/>
  <c r="M291" i="2"/>
  <c r="S291" i="2" s="1"/>
  <c r="M292" i="2"/>
  <c r="S292" i="2" s="1"/>
  <c r="M293" i="2"/>
  <c r="S293" i="2" s="1"/>
  <c r="M294" i="2"/>
  <c r="S294" i="2" s="1"/>
  <c r="M295" i="2"/>
  <c r="S295" i="2" s="1"/>
  <c r="M296" i="2"/>
  <c r="S296" i="2" s="1"/>
  <c r="M297" i="2"/>
  <c r="S297" i="2" s="1"/>
  <c r="M298" i="2"/>
  <c r="S298" i="2" s="1"/>
  <c r="M299" i="2"/>
  <c r="S299" i="2" s="1"/>
  <c r="M300" i="2"/>
  <c r="S300" i="2" s="1"/>
  <c r="M301" i="2"/>
  <c r="S301" i="2" s="1"/>
  <c r="M302" i="2"/>
  <c r="S302" i="2" s="1"/>
  <c r="M303" i="2"/>
  <c r="S303" i="2" s="1"/>
  <c r="M304" i="2"/>
  <c r="S304" i="2" s="1"/>
  <c r="M305" i="2"/>
  <c r="S305" i="2" s="1"/>
  <c r="M306" i="2"/>
  <c r="S306" i="2" s="1"/>
  <c r="M307" i="2"/>
  <c r="S307" i="2" s="1"/>
  <c r="M308" i="2"/>
  <c r="S308" i="2" s="1"/>
  <c r="M309" i="2"/>
  <c r="S309" i="2" s="1"/>
  <c r="M310" i="2"/>
  <c r="S310" i="2" s="1"/>
  <c r="M311" i="2"/>
  <c r="R311" i="2" s="1"/>
  <c r="M312" i="2"/>
  <c r="S312" i="2" s="1"/>
  <c r="M313" i="2"/>
  <c r="S313" i="2" s="1"/>
  <c r="M314" i="2"/>
  <c r="S314" i="2" s="1"/>
  <c r="M315" i="2"/>
  <c r="S315" i="2" s="1"/>
  <c r="M316" i="2"/>
  <c r="S316" i="2" s="1"/>
  <c r="M317" i="2"/>
  <c r="S317" i="2" s="1"/>
  <c r="M318" i="2"/>
  <c r="S318" i="2" s="1"/>
  <c r="M319" i="2"/>
  <c r="S319" i="2" s="1"/>
  <c r="M320" i="2"/>
  <c r="S320" i="2" s="1"/>
  <c r="M321" i="2"/>
  <c r="S321" i="2" s="1"/>
  <c r="M322" i="2"/>
  <c r="S322" i="2" s="1"/>
  <c r="M323" i="2"/>
  <c r="S323" i="2" s="1"/>
  <c r="M324" i="2"/>
  <c r="S324" i="2" s="1"/>
  <c r="M325" i="2"/>
  <c r="S325" i="2" s="1"/>
  <c r="M326" i="2"/>
  <c r="S326" i="2" s="1"/>
  <c r="M327" i="2"/>
  <c r="S327" i="2" s="1"/>
  <c r="M328" i="2"/>
  <c r="S328" i="2" s="1"/>
  <c r="M329" i="2"/>
  <c r="S329" i="2" s="1"/>
  <c r="M330" i="2"/>
  <c r="S330" i="2" s="1"/>
  <c r="M331" i="2"/>
  <c r="S331" i="2" s="1"/>
  <c r="M332" i="2"/>
  <c r="S332" i="2" s="1"/>
  <c r="M333" i="2"/>
  <c r="S333" i="2" s="1"/>
  <c r="M334" i="2"/>
  <c r="S334" i="2" s="1"/>
  <c r="M335" i="2"/>
  <c r="S335" i="2" s="1"/>
  <c r="M336" i="2"/>
  <c r="S336" i="2" s="1"/>
  <c r="M337" i="2"/>
  <c r="S337" i="2" s="1"/>
  <c r="M338" i="2"/>
  <c r="S338" i="2" s="1"/>
  <c r="M339" i="2"/>
  <c r="M340" i="2"/>
  <c r="S340" i="2" s="1"/>
  <c r="M341" i="2"/>
  <c r="S341" i="2" s="1"/>
  <c r="M342" i="2"/>
  <c r="S342" i="2" s="1"/>
  <c r="M343" i="2"/>
  <c r="S343" i="2" s="1"/>
  <c r="M344" i="2"/>
  <c r="S344" i="2" s="1"/>
  <c r="M345" i="2"/>
  <c r="S345" i="2" s="1"/>
  <c r="M346" i="2"/>
  <c r="S346" i="2" s="1"/>
  <c r="M347" i="2"/>
  <c r="S347" i="2" s="1"/>
  <c r="M348" i="2"/>
  <c r="S348" i="2" s="1"/>
  <c r="M349" i="2"/>
  <c r="S349" i="2" s="1"/>
  <c r="M350" i="2"/>
  <c r="S350" i="2" s="1"/>
  <c r="M351" i="2"/>
  <c r="S351" i="2" s="1"/>
  <c r="M352" i="2"/>
  <c r="S352" i="2" s="1"/>
  <c r="M353" i="2"/>
  <c r="S353" i="2" s="1"/>
  <c r="M354" i="2"/>
  <c r="S354" i="2" s="1"/>
  <c r="M355" i="2"/>
  <c r="S355" i="2" s="1"/>
  <c r="M356" i="2"/>
  <c r="S356" i="2" s="1"/>
  <c r="M357" i="2"/>
  <c r="S357" i="2" s="1"/>
  <c r="M358" i="2"/>
  <c r="S358" i="2" s="1"/>
  <c r="M359" i="2"/>
  <c r="S359" i="2" s="1"/>
  <c r="M360" i="2"/>
  <c r="R360" i="2" s="1"/>
  <c r="M361" i="2"/>
  <c r="S361" i="2" s="1"/>
  <c r="M362" i="2"/>
  <c r="S362" i="2" s="1"/>
  <c r="M363" i="2"/>
  <c r="S363" i="2" s="1"/>
  <c r="M364" i="2"/>
  <c r="S364" i="2" s="1"/>
  <c r="M365" i="2"/>
  <c r="S365" i="2" s="1"/>
  <c r="M366" i="2"/>
  <c r="S366" i="2" s="1"/>
  <c r="M367" i="2"/>
  <c r="S367" i="2" s="1"/>
  <c r="M368" i="2"/>
  <c r="S368" i="2" s="1"/>
  <c r="M369" i="2"/>
  <c r="S369" i="2" s="1"/>
  <c r="M370" i="2"/>
  <c r="S370" i="2" s="1"/>
  <c r="M371" i="2"/>
  <c r="R371" i="2" s="1"/>
  <c r="M372" i="2"/>
  <c r="S372" i="2" s="1"/>
  <c r="M373" i="2"/>
  <c r="S373" i="2" s="1"/>
  <c r="M374" i="2"/>
  <c r="S374" i="2" s="1"/>
  <c r="M375" i="2"/>
  <c r="S375" i="2" s="1"/>
  <c r="M376" i="2"/>
  <c r="S376" i="2" s="1"/>
  <c r="M377" i="2"/>
  <c r="S377" i="2" s="1"/>
  <c r="M378" i="2"/>
  <c r="S378" i="2" s="1"/>
  <c r="M379" i="2"/>
  <c r="S379" i="2" s="1"/>
  <c r="M380" i="2"/>
  <c r="S380" i="2" s="1"/>
  <c r="M381" i="2"/>
  <c r="S381" i="2" s="1"/>
  <c r="M382" i="2"/>
  <c r="S382" i="2" s="1"/>
  <c r="M383" i="2"/>
  <c r="S383" i="2" s="1"/>
  <c r="M384" i="2"/>
  <c r="S384" i="2" s="1"/>
  <c r="M385" i="2"/>
  <c r="S385" i="2" s="1"/>
  <c r="M386" i="2"/>
  <c r="S386" i="2" s="1"/>
  <c r="M387" i="2"/>
  <c r="S387" i="2" s="1"/>
  <c r="M388" i="2"/>
  <c r="S388" i="2" s="1"/>
  <c r="M389" i="2"/>
  <c r="S389" i="2" s="1"/>
  <c r="M390" i="2"/>
  <c r="S390" i="2" s="1"/>
  <c r="M391" i="2"/>
  <c r="S391" i="2" s="1"/>
  <c r="M392" i="2"/>
  <c r="R392" i="2" s="1"/>
  <c r="M393" i="2"/>
  <c r="S393" i="2" s="1"/>
  <c r="M394" i="2"/>
  <c r="S394" i="2" s="1"/>
  <c r="M395" i="2"/>
  <c r="S395" i="2" s="1"/>
  <c r="M396" i="2"/>
  <c r="S396" i="2" s="1"/>
  <c r="M397" i="2"/>
  <c r="S397" i="2" s="1"/>
  <c r="M398" i="2"/>
  <c r="S398" i="2" s="1"/>
  <c r="M399" i="2"/>
  <c r="S399" i="2" s="1"/>
  <c r="M400" i="2"/>
  <c r="S400" i="2" s="1"/>
  <c r="M401" i="2"/>
  <c r="S401" i="2" s="1"/>
  <c r="M402" i="2"/>
  <c r="S402" i="2" s="1"/>
  <c r="M403" i="2"/>
  <c r="R403" i="2" s="1"/>
  <c r="M404" i="2"/>
  <c r="S404" i="2" s="1"/>
  <c r="M405" i="2"/>
  <c r="S405" i="2" s="1"/>
  <c r="M406" i="2"/>
  <c r="S406" i="2" s="1"/>
  <c r="M407" i="2"/>
  <c r="S407" i="2" s="1"/>
  <c r="M408" i="2"/>
  <c r="S408" i="2" s="1"/>
  <c r="M409" i="2"/>
  <c r="S409" i="2" s="1"/>
  <c r="M410" i="2"/>
  <c r="S410" i="2" s="1"/>
  <c r="M411" i="2"/>
  <c r="S411" i="2" s="1"/>
  <c r="M412" i="2"/>
  <c r="S412" i="2" s="1"/>
  <c r="M413" i="2"/>
  <c r="S413" i="2" s="1"/>
  <c r="M414" i="2"/>
  <c r="S414" i="2" s="1"/>
  <c r="M415" i="2"/>
  <c r="S415" i="2" s="1"/>
  <c r="M416" i="2"/>
  <c r="S416" i="2" s="1"/>
  <c r="M417" i="2"/>
  <c r="S417" i="2" s="1"/>
  <c r="M418" i="2"/>
  <c r="S418" i="2" s="1"/>
  <c r="M419" i="2"/>
  <c r="S419" i="2" s="1"/>
  <c r="M420" i="2"/>
  <c r="S420" i="2" s="1"/>
  <c r="M421" i="2"/>
  <c r="S421" i="2" s="1"/>
  <c r="M2" i="2"/>
  <c r="S2" i="2" s="1"/>
  <c r="R83" i="2" l="1"/>
  <c r="S83" i="2"/>
  <c r="R339" i="2"/>
  <c r="S339" i="2"/>
  <c r="R283" i="2"/>
  <c r="S283" i="2"/>
  <c r="S403" i="2"/>
  <c r="S371" i="2"/>
  <c r="S311" i="2"/>
  <c r="S112" i="2"/>
  <c r="R225" i="2"/>
  <c r="S225" i="2"/>
  <c r="R197" i="2"/>
  <c r="S197" i="2"/>
  <c r="S392" i="2"/>
  <c r="S360" i="2"/>
  <c r="S253" i="2"/>
  <c r="R156" i="2"/>
  <c r="R87" i="2"/>
  <c r="R204" i="2"/>
  <c r="R140" i="2"/>
  <c r="R45" i="2"/>
  <c r="R188" i="2"/>
  <c r="R124" i="2"/>
  <c r="R172" i="2"/>
  <c r="R108" i="2"/>
  <c r="R298" i="2"/>
  <c r="R286" i="2"/>
  <c r="R282" i="2"/>
  <c r="R270" i="2"/>
  <c r="R258" i="2"/>
  <c r="R250" i="2"/>
  <c r="R238" i="2"/>
  <c r="R230" i="2"/>
  <c r="R218" i="2"/>
  <c r="R210" i="2"/>
  <c r="R202" i="2"/>
  <c r="R198" i="2"/>
  <c r="R194" i="2"/>
  <c r="R182" i="2"/>
  <c r="R178" i="2"/>
  <c r="R174" i="2"/>
  <c r="R170" i="2"/>
  <c r="R166" i="2"/>
  <c r="R162" i="2"/>
  <c r="R158" i="2"/>
  <c r="R154" i="2"/>
  <c r="R150" i="2"/>
  <c r="R146" i="2"/>
  <c r="R142" i="2"/>
  <c r="R138" i="2"/>
  <c r="R134" i="2"/>
  <c r="R130" i="2"/>
  <c r="R126" i="2"/>
  <c r="R122" i="2"/>
  <c r="R118" i="2"/>
  <c r="R114" i="2"/>
  <c r="R110" i="2"/>
  <c r="R106" i="2"/>
  <c r="R102" i="2"/>
  <c r="R94" i="2"/>
  <c r="R90" i="2"/>
  <c r="R86" i="2"/>
  <c r="R78" i="2"/>
  <c r="R74" i="2"/>
  <c r="R70" i="2"/>
  <c r="R62" i="2"/>
  <c r="R58" i="2"/>
  <c r="R54" i="2"/>
  <c r="R46" i="2"/>
  <c r="R42" i="2"/>
  <c r="R38" i="2"/>
  <c r="R30" i="2"/>
  <c r="R26" i="2"/>
  <c r="R18" i="2"/>
  <c r="R10" i="2"/>
  <c r="R6" i="2"/>
  <c r="R2" i="2"/>
  <c r="R414" i="2"/>
  <c r="R406" i="2"/>
  <c r="R398" i="2"/>
  <c r="R390" i="2"/>
  <c r="R382" i="2"/>
  <c r="R374" i="2"/>
  <c r="R366" i="2"/>
  <c r="R358" i="2"/>
  <c r="R350" i="2"/>
  <c r="R342" i="2"/>
  <c r="R334" i="2"/>
  <c r="R326" i="2"/>
  <c r="R318" i="2"/>
  <c r="R310" i="2"/>
  <c r="R300" i="2"/>
  <c r="R284" i="2"/>
  <c r="R268" i="2"/>
  <c r="R252" i="2"/>
  <c r="R236" i="2"/>
  <c r="R220" i="2"/>
  <c r="R66" i="2"/>
  <c r="R22" i="2"/>
  <c r="R421" i="2"/>
  <c r="R417" i="2"/>
  <c r="R413" i="2"/>
  <c r="R409" i="2"/>
  <c r="R405" i="2"/>
  <c r="R401" i="2"/>
  <c r="R397" i="2"/>
  <c r="R393" i="2"/>
  <c r="R389" i="2"/>
  <c r="R385" i="2"/>
  <c r="R381" i="2"/>
  <c r="R377" i="2"/>
  <c r="R373" i="2"/>
  <c r="R369" i="2"/>
  <c r="R365" i="2"/>
  <c r="R361" i="2"/>
  <c r="R357" i="2"/>
  <c r="R353" i="2"/>
  <c r="R349" i="2"/>
  <c r="R345" i="2"/>
  <c r="R341" i="2"/>
  <c r="R337" i="2"/>
  <c r="R333" i="2"/>
  <c r="R329" i="2"/>
  <c r="R325" i="2"/>
  <c r="R321" i="2"/>
  <c r="R317" i="2"/>
  <c r="R313" i="2"/>
  <c r="R309" i="2"/>
  <c r="R305" i="2"/>
  <c r="R301" i="2"/>
  <c r="R297" i="2"/>
  <c r="R293" i="2"/>
  <c r="R289" i="2"/>
  <c r="R285" i="2"/>
  <c r="R281" i="2"/>
  <c r="R277" i="2"/>
  <c r="R273" i="2"/>
  <c r="R269" i="2"/>
  <c r="R265" i="2"/>
  <c r="R261" i="2"/>
  <c r="R257" i="2"/>
  <c r="R249" i="2"/>
  <c r="R245" i="2"/>
  <c r="R241" i="2"/>
  <c r="R237" i="2"/>
  <c r="R233" i="2"/>
  <c r="R229" i="2"/>
  <c r="R221" i="2"/>
  <c r="R217" i="2"/>
  <c r="R213" i="2"/>
  <c r="R209" i="2"/>
  <c r="R205" i="2"/>
  <c r="R201" i="2"/>
  <c r="R193" i="2"/>
  <c r="R189" i="2"/>
  <c r="R185" i="2"/>
  <c r="R181" i="2"/>
  <c r="R177" i="2"/>
  <c r="R173" i="2"/>
  <c r="R169" i="2"/>
  <c r="R165" i="2"/>
  <c r="R161" i="2"/>
  <c r="R157" i="2"/>
  <c r="R153" i="2"/>
  <c r="R149" i="2"/>
  <c r="R145" i="2"/>
  <c r="R141" i="2"/>
  <c r="R137" i="2"/>
  <c r="R133" i="2"/>
  <c r="R129" i="2"/>
  <c r="R125" i="2"/>
  <c r="R121" i="2"/>
  <c r="R117" i="2"/>
  <c r="R113" i="2"/>
  <c r="R109" i="2"/>
  <c r="R105" i="2"/>
  <c r="R101" i="2"/>
  <c r="R97" i="2"/>
  <c r="R89" i="2"/>
  <c r="R85" i="2"/>
  <c r="R81" i="2"/>
  <c r="R73" i="2"/>
  <c r="R69" i="2"/>
  <c r="R65" i="2"/>
  <c r="R57" i="2"/>
  <c r="R53" i="2"/>
  <c r="R49" i="2"/>
  <c r="R41" i="2"/>
  <c r="R37" i="2"/>
  <c r="R33" i="2"/>
  <c r="R25" i="2"/>
  <c r="R21" i="2"/>
  <c r="R17" i="2"/>
  <c r="R13" i="2"/>
  <c r="R9" i="2"/>
  <c r="R420" i="2"/>
  <c r="R412" i="2"/>
  <c r="R404" i="2"/>
  <c r="R396" i="2"/>
  <c r="R388" i="2"/>
  <c r="R380" i="2"/>
  <c r="R372" i="2"/>
  <c r="R364" i="2"/>
  <c r="R356" i="2"/>
  <c r="R348" i="2"/>
  <c r="R340" i="2"/>
  <c r="R332" i="2"/>
  <c r="R324" i="2"/>
  <c r="R316" i="2"/>
  <c r="R308" i="2"/>
  <c r="R296" i="2"/>
  <c r="R280" i="2"/>
  <c r="R264" i="2"/>
  <c r="R248" i="2"/>
  <c r="R232" i="2"/>
  <c r="R216" i="2"/>
  <c r="R200" i="2"/>
  <c r="R184" i="2"/>
  <c r="R168" i="2"/>
  <c r="R152" i="2"/>
  <c r="R136" i="2"/>
  <c r="R120" i="2"/>
  <c r="R103" i="2"/>
  <c r="R82" i="2"/>
  <c r="R61" i="2"/>
  <c r="R39" i="2"/>
  <c r="R14" i="2"/>
  <c r="R294" i="2"/>
  <c r="R274" i="2"/>
  <c r="R262" i="2"/>
  <c r="R242" i="2"/>
  <c r="R226" i="2"/>
  <c r="R206" i="2"/>
  <c r="R186" i="2"/>
  <c r="R104" i="2"/>
  <c r="R100" i="2"/>
  <c r="R96" i="2"/>
  <c r="R92" i="2"/>
  <c r="R88" i="2"/>
  <c r="R84" i="2"/>
  <c r="R80" i="2"/>
  <c r="R76" i="2"/>
  <c r="R72" i="2"/>
  <c r="R68" i="2"/>
  <c r="R64" i="2"/>
  <c r="R60" i="2"/>
  <c r="R56" i="2"/>
  <c r="R52" i="2"/>
  <c r="R48" i="2"/>
  <c r="R44" i="2"/>
  <c r="R40" i="2"/>
  <c r="R36" i="2"/>
  <c r="R32" i="2"/>
  <c r="R28" i="2"/>
  <c r="R24" i="2"/>
  <c r="R20" i="2"/>
  <c r="R16" i="2"/>
  <c r="R12" i="2"/>
  <c r="R8" i="2"/>
  <c r="R418" i="2"/>
  <c r="R410" i="2"/>
  <c r="R402" i="2"/>
  <c r="R394" i="2"/>
  <c r="R386" i="2"/>
  <c r="R378" i="2"/>
  <c r="R370" i="2"/>
  <c r="R362" i="2"/>
  <c r="R354" i="2"/>
  <c r="R346" i="2"/>
  <c r="R338" i="2"/>
  <c r="R330" i="2"/>
  <c r="R322" i="2"/>
  <c r="R314" i="2"/>
  <c r="R306" i="2"/>
  <c r="R292" i="2"/>
  <c r="R276" i="2"/>
  <c r="R260" i="2"/>
  <c r="R244" i="2"/>
  <c r="R228" i="2"/>
  <c r="R212" i="2"/>
  <c r="R196" i="2"/>
  <c r="R180" i="2"/>
  <c r="R164" i="2"/>
  <c r="R148" i="2"/>
  <c r="R132" i="2"/>
  <c r="R116" i="2"/>
  <c r="R98" i="2"/>
  <c r="R77" i="2"/>
  <c r="R55" i="2"/>
  <c r="R34" i="2"/>
  <c r="R4" i="2"/>
  <c r="R302" i="2"/>
  <c r="R290" i="2"/>
  <c r="R278" i="2"/>
  <c r="R266" i="2"/>
  <c r="R254" i="2"/>
  <c r="R246" i="2"/>
  <c r="R234" i="2"/>
  <c r="R222" i="2"/>
  <c r="R214" i="2"/>
  <c r="R190" i="2"/>
  <c r="R419" i="2"/>
  <c r="R415" i="2"/>
  <c r="R411" i="2"/>
  <c r="R407" i="2"/>
  <c r="R399" i="2"/>
  <c r="R395" i="2"/>
  <c r="R391" i="2"/>
  <c r="R387" i="2"/>
  <c r="R383" i="2"/>
  <c r="R379" i="2"/>
  <c r="R375" i="2"/>
  <c r="R367" i="2"/>
  <c r="R363" i="2"/>
  <c r="R359" i="2"/>
  <c r="R355" i="2"/>
  <c r="R351" i="2"/>
  <c r="R347" i="2"/>
  <c r="R343" i="2"/>
  <c r="R335" i="2"/>
  <c r="R331" i="2"/>
  <c r="R327" i="2"/>
  <c r="R323" i="2"/>
  <c r="R319" i="2"/>
  <c r="R315" i="2"/>
  <c r="R307" i="2"/>
  <c r="R303" i="2"/>
  <c r="R299" i="2"/>
  <c r="R295" i="2"/>
  <c r="R291" i="2"/>
  <c r="R287" i="2"/>
  <c r="R279" i="2"/>
  <c r="R275" i="2"/>
  <c r="R271" i="2"/>
  <c r="R267" i="2"/>
  <c r="R263" i="2"/>
  <c r="R259" i="2"/>
  <c r="R255" i="2"/>
  <c r="R251" i="2"/>
  <c r="R247" i="2"/>
  <c r="R243" i="2"/>
  <c r="R239" i="2"/>
  <c r="R235" i="2"/>
  <c r="R231" i="2"/>
  <c r="R227" i="2"/>
  <c r="R223" i="2"/>
  <c r="R219" i="2"/>
  <c r="R215" i="2"/>
  <c r="R211" i="2"/>
  <c r="R207" i="2"/>
  <c r="R203" i="2"/>
  <c r="R199" i="2"/>
  <c r="R195" i="2"/>
  <c r="R191" i="2"/>
  <c r="R187" i="2"/>
  <c r="R183" i="2"/>
  <c r="R179" i="2"/>
  <c r="R175" i="2"/>
  <c r="R171" i="2"/>
  <c r="R167" i="2"/>
  <c r="R163" i="2"/>
  <c r="R159" i="2"/>
  <c r="R155" i="2"/>
  <c r="R151" i="2"/>
  <c r="R147" i="2"/>
  <c r="R143" i="2"/>
  <c r="R139" i="2"/>
  <c r="R135" i="2"/>
  <c r="R131" i="2"/>
  <c r="R127" i="2"/>
  <c r="R123" i="2"/>
  <c r="R119" i="2"/>
  <c r="R115" i="2"/>
  <c r="R111" i="2"/>
  <c r="R107" i="2"/>
  <c r="R99" i="2"/>
  <c r="R95" i="2"/>
  <c r="R91" i="2"/>
  <c r="R79" i="2"/>
  <c r="R75" i="2"/>
  <c r="R67" i="2"/>
  <c r="R63" i="2"/>
  <c r="R59" i="2"/>
  <c r="R51" i="2"/>
  <c r="R47" i="2"/>
  <c r="R43" i="2"/>
  <c r="R35" i="2"/>
  <c r="R31" i="2"/>
  <c r="R27" i="2"/>
  <c r="R23" i="2"/>
  <c r="R19" i="2"/>
  <c r="R15" i="2"/>
  <c r="R11" i="2"/>
  <c r="R7" i="2"/>
  <c r="R416" i="2"/>
  <c r="R408" i="2"/>
  <c r="R400" i="2"/>
  <c r="R384" i="2"/>
  <c r="R376" i="2"/>
  <c r="R368" i="2"/>
  <c r="R352" i="2"/>
  <c r="R344" i="2"/>
  <c r="R336" i="2"/>
  <c r="R328" i="2"/>
  <c r="R320" i="2"/>
  <c r="R312" i="2"/>
  <c r="R304" i="2"/>
  <c r="R288" i="2"/>
  <c r="R272" i="2"/>
  <c r="R256" i="2"/>
  <c r="R240" i="2"/>
  <c r="R224" i="2"/>
  <c r="R208" i="2"/>
  <c r="R192" i="2"/>
  <c r="R176" i="2"/>
  <c r="R160" i="2"/>
  <c r="R144" i="2"/>
  <c r="R128" i="2"/>
  <c r="R93" i="2"/>
  <c r="R71" i="2"/>
  <c r="R50" i="2"/>
  <c r="R29" i="2"/>
  <c r="R3" i="2"/>
  <c r="R5" i="2"/>
</calcChain>
</file>

<file path=xl/sharedStrings.xml><?xml version="1.0" encoding="utf-8"?>
<sst xmlns="http://schemas.openxmlformats.org/spreadsheetml/2006/main" count="7704" uniqueCount="244">
  <si>
    <t>Transaction_ID</t>
  </si>
  <si>
    <t>Date</t>
  </si>
  <si>
    <t>Store_ID</t>
  </si>
  <si>
    <t>State</t>
  </si>
  <si>
    <t>Channel</t>
  </si>
  <si>
    <t>Product_Category</t>
  </si>
  <si>
    <t>Product</t>
  </si>
  <si>
    <t>Customer_ID</t>
  </si>
  <si>
    <t>Customer_Type</t>
  </si>
  <si>
    <t>Units</t>
  </si>
  <si>
    <t>Unit_Price_NGN</t>
  </si>
  <si>
    <t>Discount_Pct</t>
  </si>
  <si>
    <t>Revenue_Reported_NGN</t>
  </si>
  <si>
    <t>Cost_Per_Unit_NGN</t>
  </si>
  <si>
    <t>Return_Flag</t>
  </si>
  <si>
    <t>Sales_Rep</t>
  </si>
  <si>
    <t>AB-02</t>
  </si>
  <si>
    <t>Abuja</t>
  </si>
  <si>
    <t>WhatsApp</t>
  </si>
  <si>
    <t>Home</t>
  </si>
  <si>
    <t>Standing Fan</t>
  </si>
  <si>
    <t>C1141</t>
  </si>
  <si>
    <t>New</t>
  </si>
  <si>
    <t>No</t>
  </si>
  <si>
    <t>Chinedu</t>
  </si>
  <si>
    <t>LG-01</t>
  </si>
  <si>
    <t>Lagos</t>
  </si>
  <si>
    <t>Electronics</t>
  </si>
  <si>
    <t>Smartphone</t>
  </si>
  <si>
    <t>C1083</t>
  </si>
  <si>
    <t>Returning</t>
  </si>
  <si>
    <t>Kemi</t>
  </si>
  <si>
    <t>AB-01</t>
  </si>
  <si>
    <t>Earbuds</t>
  </si>
  <si>
    <t>C1029</t>
  </si>
  <si>
    <t>KN-01</t>
  </si>
  <si>
    <t>Kano</t>
  </si>
  <si>
    <t>Online</t>
  </si>
  <si>
    <t>Power Bank</t>
  </si>
  <si>
    <t>C1082</t>
  </si>
  <si>
    <t>Grace</t>
  </si>
  <si>
    <t>C1180</t>
  </si>
  <si>
    <t>LG-02</t>
  </si>
  <si>
    <t>In-store</t>
  </si>
  <si>
    <t>Accessories</t>
  </si>
  <si>
    <t>USB Cable</t>
  </si>
  <si>
    <t>C1161</t>
  </si>
  <si>
    <t>Bola</t>
  </si>
  <si>
    <t>C1007</t>
  </si>
  <si>
    <t>C1051</t>
  </si>
  <si>
    <t>IB-01</t>
  </si>
  <si>
    <t>Ibadan</t>
  </si>
  <si>
    <t>Blender</t>
  </si>
  <si>
    <t>C1111</t>
  </si>
  <si>
    <t>Fatima</t>
  </si>
  <si>
    <t>PH-01</t>
  </si>
  <si>
    <t>Port Harcourt</t>
  </si>
  <si>
    <t>C1153</t>
  </si>
  <si>
    <t>David</t>
  </si>
  <si>
    <t>C1059</t>
  </si>
  <si>
    <t>Phone Case</t>
  </si>
  <si>
    <t>C1028</t>
  </si>
  <si>
    <t>Electric Kettle</t>
  </si>
  <si>
    <t>C1192</t>
  </si>
  <si>
    <t>Ibrahim</t>
  </si>
  <si>
    <t>Backpack</t>
  </si>
  <si>
    <t>C1022</t>
  </si>
  <si>
    <t>C1084</t>
  </si>
  <si>
    <t>C1123</t>
  </si>
  <si>
    <t>C1134</t>
  </si>
  <si>
    <t>C1100</t>
  </si>
  <si>
    <t>C1189</t>
  </si>
  <si>
    <t>C1050</t>
  </si>
  <si>
    <t>C1184</t>
  </si>
  <si>
    <t>C1004</t>
  </si>
  <si>
    <t>C1034</t>
  </si>
  <si>
    <t>Yes</t>
  </si>
  <si>
    <t>C1164</t>
  </si>
  <si>
    <t>C1155</t>
  </si>
  <si>
    <t>C1073</t>
  </si>
  <si>
    <t>C1136</t>
  </si>
  <si>
    <t>C1173</t>
  </si>
  <si>
    <t>C1071</t>
  </si>
  <si>
    <t>C1047</t>
  </si>
  <si>
    <t>Aisha</t>
  </si>
  <si>
    <t>C1094</t>
  </si>
  <si>
    <t>C1089</t>
  </si>
  <si>
    <t>C1048</t>
  </si>
  <si>
    <t>C1056</t>
  </si>
  <si>
    <t>C1036</t>
  </si>
  <si>
    <t>C1138</t>
  </si>
  <si>
    <t>C1044</t>
  </si>
  <si>
    <t>C1063</t>
  </si>
  <si>
    <t>C1001</t>
  </si>
  <si>
    <t>C1174</t>
  </si>
  <si>
    <t>C1169</t>
  </si>
  <si>
    <t>C1081</t>
  </si>
  <si>
    <t>C1113</t>
  </si>
  <si>
    <t>C1068</t>
  </si>
  <si>
    <t>C1179</t>
  </si>
  <si>
    <t>C1135</t>
  </si>
  <si>
    <t>C1080</t>
  </si>
  <si>
    <t>C1005</t>
  </si>
  <si>
    <t>C1193</t>
  </si>
  <si>
    <t>C1030</t>
  </si>
  <si>
    <t>C1019</t>
  </si>
  <si>
    <t>C1187</t>
  </si>
  <si>
    <t>C1190</t>
  </si>
  <si>
    <t>C1069</t>
  </si>
  <si>
    <t>C1074</t>
  </si>
  <si>
    <t>C1156</t>
  </si>
  <si>
    <t>C1039</t>
  </si>
  <si>
    <t>C1045</t>
  </si>
  <si>
    <t>C1055</t>
  </si>
  <si>
    <t>C1106</t>
  </si>
  <si>
    <t>C1157</t>
  </si>
  <si>
    <t>C1000</t>
  </si>
  <si>
    <t>C1032</t>
  </si>
  <si>
    <t>C1024</t>
  </si>
  <si>
    <t>C1018</t>
  </si>
  <si>
    <t>C1058</t>
  </si>
  <si>
    <t>C1086</t>
  </si>
  <si>
    <t>C1043</t>
  </si>
  <si>
    <t>C1188</t>
  </si>
  <si>
    <t>C1104</t>
  </si>
  <si>
    <t>C1108</t>
  </si>
  <si>
    <t>C1159</t>
  </si>
  <si>
    <t>C1017</t>
  </si>
  <si>
    <t>C1143</t>
  </si>
  <si>
    <t>C1133</t>
  </si>
  <si>
    <t>C1097</t>
  </si>
  <si>
    <t>C1020</t>
  </si>
  <si>
    <t>C1177</t>
  </si>
  <si>
    <t>C1150</t>
  </si>
  <si>
    <t>C1128</t>
  </si>
  <si>
    <t>C1166</t>
  </si>
  <si>
    <t>C1031</t>
  </si>
  <si>
    <t>C1092</t>
  </si>
  <si>
    <t>C1038</t>
  </si>
  <si>
    <t>C1052</t>
  </si>
  <si>
    <t>C1014</t>
  </si>
  <si>
    <t>C1110</t>
  </si>
  <si>
    <t>C1167</t>
  </si>
  <si>
    <t>C1002</t>
  </si>
  <si>
    <t>C1170</t>
  </si>
  <si>
    <t>C1021</t>
  </si>
  <si>
    <t>C1078</t>
  </si>
  <si>
    <t>C1145</t>
  </si>
  <si>
    <t>C1091</t>
  </si>
  <si>
    <t>C1098</t>
  </si>
  <si>
    <t xml:space="preserve">Accessories </t>
  </si>
  <si>
    <t>C1194</t>
  </si>
  <si>
    <t>C1124</t>
  </si>
  <si>
    <t>C1129</t>
  </si>
  <si>
    <t>C1062</t>
  </si>
  <si>
    <t>C1046</t>
  </si>
  <si>
    <t>C1191</t>
  </si>
  <si>
    <t>C1076</t>
  </si>
  <si>
    <t>C1016</t>
  </si>
  <si>
    <t>C1003</t>
  </si>
  <si>
    <t>C1149</t>
  </si>
  <si>
    <t>C1072</t>
  </si>
  <si>
    <t>C1146</t>
  </si>
  <si>
    <t>C1088</t>
  </si>
  <si>
    <t>C1139</t>
  </si>
  <si>
    <t>C1172</t>
  </si>
  <si>
    <t>C1186</t>
  </si>
  <si>
    <t>C1117</t>
  </si>
  <si>
    <t>C1105</t>
  </si>
  <si>
    <t>C1067</t>
  </si>
  <si>
    <t>C1008</t>
  </si>
  <si>
    <t>C1096</t>
  </si>
  <si>
    <t>C1119</t>
  </si>
  <si>
    <t>C1158</t>
  </si>
  <si>
    <t>C1037</t>
  </si>
  <si>
    <t>C1013</t>
  </si>
  <si>
    <t>C1023</t>
  </si>
  <si>
    <t>C1176</t>
  </si>
  <si>
    <t>C1026</t>
  </si>
  <si>
    <t>C1102</t>
  </si>
  <si>
    <t>C1120</t>
  </si>
  <si>
    <t>C1112</t>
  </si>
  <si>
    <t>C1061</t>
  </si>
  <si>
    <t>C1165</t>
  </si>
  <si>
    <t>C1181</t>
  </si>
  <si>
    <t xml:space="preserve">Lagos </t>
  </si>
  <si>
    <t>C1147</t>
  </si>
  <si>
    <t>C1152</t>
  </si>
  <si>
    <t>C1131</t>
  </si>
  <si>
    <t>C1085</t>
  </si>
  <si>
    <t>C1144</t>
  </si>
  <si>
    <t>C1107</t>
  </si>
  <si>
    <t>C1178</t>
  </si>
  <si>
    <t>C1033</t>
  </si>
  <si>
    <t>C1126</t>
  </si>
  <si>
    <t>C1137</t>
  </si>
  <si>
    <t>C1142</t>
  </si>
  <si>
    <t>C1064</t>
  </si>
  <si>
    <t>C1054</t>
  </si>
  <si>
    <t>C1025</t>
  </si>
  <si>
    <t>C1101</t>
  </si>
  <si>
    <t>C1116</t>
  </si>
  <si>
    <t>C1140</t>
  </si>
  <si>
    <t>C1049</t>
  </si>
  <si>
    <t>C1027</t>
  </si>
  <si>
    <t>C1127</t>
  </si>
  <si>
    <t>accessories</t>
  </si>
  <si>
    <t>C1087</t>
  </si>
  <si>
    <t>C1182</t>
  </si>
  <si>
    <t>C1053</t>
  </si>
  <si>
    <t>C1041</t>
  </si>
  <si>
    <t>C1035</t>
  </si>
  <si>
    <t>C1115</t>
  </si>
  <si>
    <t>C1130</t>
  </si>
  <si>
    <t>C1114</t>
  </si>
  <si>
    <t>C1057</t>
  </si>
  <si>
    <t>C1010</t>
  </si>
  <si>
    <t>C1162</t>
  </si>
  <si>
    <t>C1090</t>
  </si>
  <si>
    <t>C1099</t>
  </si>
  <si>
    <t>C1093</t>
  </si>
  <si>
    <t>Accessory</t>
  </si>
  <si>
    <t>LAGOS</t>
  </si>
  <si>
    <t>C1070</t>
  </si>
  <si>
    <t>C1079</t>
  </si>
  <si>
    <t>C1154</t>
  </si>
  <si>
    <t>C1171</t>
  </si>
  <si>
    <t>C1066</t>
  </si>
  <si>
    <t>C1077</t>
  </si>
  <si>
    <t>C1185</t>
  </si>
  <si>
    <t>C1151</t>
  </si>
  <si>
    <t>C1132</t>
  </si>
  <si>
    <t>C1015</t>
  </si>
  <si>
    <t>C1160</t>
  </si>
  <si>
    <t>C1042</t>
  </si>
  <si>
    <t>C1175</t>
  </si>
  <si>
    <t>C1065</t>
  </si>
  <si>
    <t>C1012</t>
  </si>
  <si>
    <t>C1006</t>
  </si>
  <si>
    <t>Calculated_Revenue</t>
  </si>
  <si>
    <t>Audit_Status</t>
  </si>
  <si>
    <t>Usb Cable</t>
  </si>
  <si>
    <t>Revenue_Variance_Ratio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</si>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</sst>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₦&quot;* #,##0.00_-;\-&quot;₦&quot;* #,##0.00_-;_-&quot;₦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44" fontId="0" fillId="0" borderId="0" xfId="42" applyFont="1"/>
    <xf numFmtId="1" fontId="0" fillId="0" borderId="0" xfId="0" applyNumberFormat="1"/>
    <xf numFmtId="0" fontId="0" fillId="0" borderId="11" xfId="0" applyBorder="1"/>
    <xf numFmtId="1" fontId="13" fillId="33" borderId="12" xfId="0" applyNumberFormat="1" applyFont="1" applyFill="1" applyBorder="1"/>
    <xf numFmtId="14" fontId="13" fillId="33" borderId="13" xfId="0" applyNumberFormat="1" applyFont="1" applyFill="1" applyBorder="1"/>
    <xf numFmtId="49" fontId="13" fillId="33" borderId="13" xfId="0" applyNumberFormat="1" applyFont="1" applyFill="1" applyBorder="1"/>
    <xf numFmtId="0" fontId="13" fillId="33" borderId="13" xfId="0" applyFont="1" applyFill="1" applyBorder="1"/>
    <xf numFmtId="1" fontId="13" fillId="33" borderId="13" xfId="0" applyNumberFormat="1" applyFont="1" applyFill="1" applyBorder="1"/>
    <xf numFmtId="44" fontId="13" fillId="33" borderId="13" xfId="42" applyFont="1" applyFill="1" applyBorder="1"/>
    <xf numFmtId="2" fontId="13" fillId="33" borderId="13" xfId="0" applyNumberFormat="1" applyFont="1" applyFill="1" applyBorder="1"/>
    <xf numFmtId="1" fontId="0" fillId="34" borderId="12" xfId="0" applyNumberFormat="1" applyFill="1" applyBorder="1"/>
    <xf numFmtId="14" fontId="0" fillId="34" borderId="13" xfId="0" applyNumberFormat="1" applyFill="1" applyBorder="1"/>
    <xf numFmtId="49" fontId="0" fillId="34" borderId="13" xfId="0" applyNumberFormat="1" applyFill="1" applyBorder="1"/>
    <xf numFmtId="0" fontId="0" fillId="34" borderId="13" xfId="0" applyFill="1" applyBorder="1"/>
    <xf numFmtId="1" fontId="0" fillId="34" borderId="13" xfId="0" applyNumberFormat="1" applyFill="1" applyBorder="1"/>
    <xf numFmtId="44" fontId="0" fillId="34" borderId="13" xfId="42" applyFont="1" applyFill="1" applyBorder="1"/>
    <xf numFmtId="2" fontId="0" fillId="34" borderId="13" xfId="0" applyNumberFormat="1" applyFill="1" applyBorder="1"/>
    <xf numFmtId="1" fontId="0" fillId="0" borderId="12" xfId="0" applyNumberFormat="1" applyBorder="1"/>
    <xf numFmtId="14" fontId="0" fillId="0" borderId="13" xfId="0" applyNumberFormat="1" applyBorder="1"/>
    <xf numFmtId="49" fontId="0" fillId="0" borderId="13" xfId="0" applyNumberFormat="1" applyBorder="1"/>
    <xf numFmtId="1" fontId="0" fillId="0" borderId="13" xfId="0" applyNumberFormat="1" applyBorder="1"/>
    <xf numFmtId="44" fontId="0" fillId="0" borderId="13" xfId="42" applyFont="1" applyBorder="1"/>
    <xf numFmtId="2" fontId="0" fillId="0" borderId="13" xfId="0" applyNumberFormat="1" applyBorder="1"/>
    <xf numFmtId="0" fontId="0" fillId="0" borderId="13" xfId="0" applyBorder="1"/>
    <xf numFmtId="1" fontId="0" fillId="0" borderId="10" xfId="0" applyNumberFormat="1" applyBorder="1"/>
    <xf numFmtId="14" fontId="0" fillId="0" borderId="11" xfId="0" applyNumberFormat="1" applyBorder="1"/>
    <xf numFmtId="49" fontId="0" fillId="0" borderId="11" xfId="0" applyNumberFormat="1" applyBorder="1"/>
    <xf numFmtId="1" fontId="0" fillId="0" borderId="11" xfId="0" applyNumberFormat="1" applyBorder="1"/>
    <xf numFmtId="44" fontId="0" fillId="0" borderId="11" xfId="42" applyFont="1" applyBorder="1"/>
    <xf numFmtId="2" fontId="0" fillId="0" borderId="11" xfId="0" applyNumberFormat="1" applyBorder="1"/>
    <xf numFmtId="10" fontId="0" fillId="0" borderId="0" xfId="0" applyNumberFormat="1"/>
    <xf numFmtId="44" fontId="0" fillId="0" borderId="0" xfId="0" applyNumberFormat="1"/>
    <xf numFmtId="44" fontId="13" fillId="33" borderId="0" xfId="42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796E-6146-4F70-85E1-E6C4E93D7E64}">
  <dimension ref="A1:P433"/>
  <sheetViews>
    <sheetView workbookViewId="0">
      <selection activeCell="M5" sqref="A1:P433"/>
    </sheetView>
  </sheetViews>
  <sheetFormatPr defaultRowHeight="15" x14ac:dyDescent="0.25"/>
  <cols>
    <col min="2" max="2" width="10.7109375" bestFit="1" customWidth="1"/>
    <col min="5" max="5" width="10.140625" bestFit="1" customWidth="1"/>
    <col min="6" max="6" width="16.85546875" bestFit="1" customWidth="1"/>
    <col min="7" max="7" width="13.42578125" bestFit="1" customWidth="1"/>
    <col min="11" max="11" width="15.42578125" bestFit="1" customWidth="1"/>
    <col min="12" max="12" width="12.42578125" bestFit="1" customWidth="1"/>
    <col min="13" max="13" width="23.7109375" bestFit="1" customWidth="1"/>
    <col min="14" max="14" width="19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100001</v>
      </c>
      <c r="B2" s="1">
        <v>46167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58000</v>
      </c>
      <c r="L2">
        <v>0</v>
      </c>
      <c r="M2">
        <v>58000</v>
      </c>
      <c r="O2" t="s">
        <v>23</v>
      </c>
      <c r="P2" t="s">
        <v>24</v>
      </c>
    </row>
    <row r="3" spans="1:16" x14ac:dyDescent="0.25">
      <c r="A3">
        <v>100002</v>
      </c>
      <c r="B3" s="1">
        <v>46129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>
        <v>165000</v>
      </c>
      <c r="L3">
        <v>0.05</v>
      </c>
      <c r="M3">
        <v>627000</v>
      </c>
      <c r="N3">
        <v>112000</v>
      </c>
      <c r="O3" t="s">
        <v>23</v>
      </c>
      <c r="P3" t="s">
        <v>31</v>
      </c>
    </row>
    <row r="4" spans="1:16" x14ac:dyDescent="0.25">
      <c r="A4">
        <v>100003</v>
      </c>
      <c r="B4" s="1">
        <v>46079</v>
      </c>
      <c r="C4" t="s">
        <v>32</v>
      </c>
      <c r="D4" t="s">
        <v>17</v>
      </c>
      <c r="E4" t="s">
        <v>18</v>
      </c>
      <c r="F4" t="s">
        <v>27</v>
      </c>
      <c r="G4" t="s">
        <v>33</v>
      </c>
      <c r="H4" t="s">
        <v>34</v>
      </c>
      <c r="I4" t="s">
        <v>30</v>
      </c>
      <c r="J4">
        <v>3</v>
      </c>
      <c r="K4">
        <v>32000</v>
      </c>
      <c r="L4">
        <v>0.2</v>
      </c>
      <c r="M4">
        <v>76800</v>
      </c>
      <c r="N4">
        <v>19000</v>
      </c>
      <c r="O4" t="s">
        <v>23</v>
      </c>
      <c r="P4" t="s">
        <v>24</v>
      </c>
    </row>
    <row r="5" spans="1:16" x14ac:dyDescent="0.25">
      <c r="A5">
        <v>100004</v>
      </c>
      <c r="B5" s="1">
        <v>46182</v>
      </c>
      <c r="C5" t="s">
        <v>35</v>
      </c>
      <c r="D5" t="s">
        <v>36</v>
      </c>
      <c r="E5" t="s">
        <v>37</v>
      </c>
      <c r="F5" t="s">
        <v>27</v>
      </c>
      <c r="G5" t="s">
        <v>38</v>
      </c>
      <c r="H5" t="s">
        <v>39</v>
      </c>
      <c r="I5" t="s">
        <v>30</v>
      </c>
      <c r="J5">
        <v>4</v>
      </c>
      <c r="K5">
        <v>26000</v>
      </c>
      <c r="L5">
        <v>0</v>
      </c>
      <c r="M5">
        <v>104000</v>
      </c>
      <c r="N5">
        <v>15000</v>
      </c>
      <c r="O5" t="s">
        <v>23</v>
      </c>
      <c r="P5" t="s">
        <v>40</v>
      </c>
    </row>
    <row r="6" spans="1:16" x14ac:dyDescent="0.25">
      <c r="A6">
        <v>100005</v>
      </c>
      <c r="B6" s="1">
        <v>46172</v>
      </c>
      <c r="C6" t="s">
        <v>25</v>
      </c>
      <c r="D6" t="s">
        <v>26</v>
      </c>
      <c r="E6" t="s">
        <v>37</v>
      </c>
      <c r="F6" t="s">
        <v>27</v>
      </c>
      <c r="G6" t="s">
        <v>28</v>
      </c>
      <c r="H6" t="s">
        <v>41</v>
      </c>
      <c r="I6" t="s">
        <v>30</v>
      </c>
      <c r="J6">
        <v>1</v>
      </c>
      <c r="K6">
        <v>165000</v>
      </c>
      <c r="L6">
        <v>0.05</v>
      </c>
      <c r="M6">
        <v>156750</v>
      </c>
      <c r="N6">
        <v>112000</v>
      </c>
      <c r="O6" t="s">
        <v>23</v>
      </c>
      <c r="P6" t="s">
        <v>24</v>
      </c>
    </row>
    <row r="7" spans="1:16" x14ac:dyDescent="0.25">
      <c r="A7">
        <v>100006</v>
      </c>
      <c r="B7" s="1">
        <v>46238</v>
      </c>
      <c r="C7" t="s">
        <v>42</v>
      </c>
      <c r="D7" t="s">
        <v>26</v>
      </c>
      <c r="E7" t="s">
        <v>43</v>
      </c>
      <c r="F7" t="s">
        <v>44</v>
      </c>
      <c r="G7" t="s">
        <v>45</v>
      </c>
      <c r="H7" t="s">
        <v>46</v>
      </c>
      <c r="I7" t="s">
        <v>30</v>
      </c>
      <c r="J7">
        <v>3</v>
      </c>
      <c r="K7">
        <v>6500</v>
      </c>
      <c r="L7">
        <v>0.1</v>
      </c>
      <c r="M7">
        <v>17550</v>
      </c>
      <c r="N7">
        <v>2200</v>
      </c>
      <c r="O7" t="s">
        <v>23</v>
      </c>
      <c r="P7" t="s">
        <v>47</v>
      </c>
    </row>
    <row r="8" spans="1:16" x14ac:dyDescent="0.25">
      <c r="A8">
        <v>100007</v>
      </c>
      <c r="B8" s="1">
        <v>46090</v>
      </c>
      <c r="C8" t="s">
        <v>25</v>
      </c>
      <c r="D8" t="s">
        <v>26</v>
      </c>
      <c r="E8" t="s">
        <v>43</v>
      </c>
      <c r="F8" t="s">
        <v>27</v>
      </c>
      <c r="G8" t="s">
        <v>38</v>
      </c>
      <c r="H8" t="s">
        <v>48</v>
      </c>
      <c r="I8" t="s">
        <v>22</v>
      </c>
      <c r="J8">
        <v>3</v>
      </c>
      <c r="K8">
        <v>26000</v>
      </c>
      <c r="L8">
        <v>0.1</v>
      </c>
      <c r="M8">
        <v>70200</v>
      </c>
      <c r="N8">
        <v>15000</v>
      </c>
      <c r="O8" t="s">
        <v>23</v>
      </c>
      <c r="P8" t="s">
        <v>24</v>
      </c>
    </row>
    <row r="9" spans="1:16" x14ac:dyDescent="0.25">
      <c r="A9">
        <v>100008</v>
      </c>
      <c r="B9" s="1">
        <v>46229</v>
      </c>
      <c r="C9" t="s">
        <v>35</v>
      </c>
      <c r="D9" t="s">
        <v>36</v>
      </c>
      <c r="E9" t="s">
        <v>37</v>
      </c>
      <c r="F9" t="s">
        <v>27</v>
      </c>
      <c r="G9" t="s">
        <v>28</v>
      </c>
      <c r="H9" t="s">
        <v>49</v>
      </c>
      <c r="I9" t="s">
        <v>30</v>
      </c>
      <c r="J9">
        <v>5</v>
      </c>
      <c r="K9">
        <v>165000</v>
      </c>
      <c r="L9">
        <v>0.05</v>
      </c>
      <c r="M9">
        <v>783750</v>
      </c>
      <c r="N9">
        <v>112000</v>
      </c>
      <c r="O9" t="s">
        <v>23</v>
      </c>
      <c r="P9" t="s">
        <v>31</v>
      </c>
    </row>
    <row r="10" spans="1:16" x14ac:dyDescent="0.25">
      <c r="A10">
        <v>100009</v>
      </c>
      <c r="B10" s="1">
        <v>46028</v>
      </c>
      <c r="C10" t="s">
        <v>50</v>
      </c>
      <c r="D10" t="s">
        <v>51</v>
      </c>
      <c r="E10" t="s">
        <v>43</v>
      </c>
      <c r="F10" t="s">
        <v>19</v>
      </c>
      <c r="G10" t="s">
        <v>52</v>
      </c>
      <c r="H10" t="s">
        <v>53</v>
      </c>
      <c r="I10" t="s">
        <v>30</v>
      </c>
      <c r="J10">
        <v>3</v>
      </c>
      <c r="K10">
        <v>42000</v>
      </c>
      <c r="L10">
        <v>0.15</v>
      </c>
      <c r="M10">
        <v>107100</v>
      </c>
      <c r="N10">
        <v>28000</v>
      </c>
      <c r="O10" t="s">
        <v>23</v>
      </c>
      <c r="P10" t="s">
        <v>54</v>
      </c>
    </row>
    <row r="11" spans="1:16" x14ac:dyDescent="0.25">
      <c r="A11">
        <v>100010</v>
      </c>
      <c r="B11" s="1">
        <v>46248</v>
      </c>
      <c r="C11" t="s">
        <v>55</v>
      </c>
      <c r="D11" t="s">
        <v>56</v>
      </c>
      <c r="E11" t="s">
        <v>43</v>
      </c>
      <c r="F11" t="s">
        <v>27</v>
      </c>
      <c r="G11" t="s">
        <v>28</v>
      </c>
      <c r="H11" t="s">
        <v>57</v>
      </c>
      <c r="I11" t="s">
        <v>30</v>
      </c>
      <c r="J11">
        <v>1</v>
      </c>
      <c r="K11">
        <v>165000</v>
      </c>
      <c r="L11">
        <v>0</v>
      </c>
      <c r="M11">
        <v>165000</v>
      </c>
      <c r="N11">
        <v>112000</v>
      </c>
      <c r="O11" t="s">
        <v>23</v>
      </c>
      <c r="P11" t="s">
        <v>58</v>
      </c>
    </row>
    <row r="12" spans="1:16" x14ac:dyDescent="0.25">
      <c r="A12">
        <v>100011</v>
      </c>
      <c r="B12" s="1">
        <v>46200</v>
      </c>
      <c r="C12" t="s">
        <v>25</v>
      </c>
      <c r="D12" t="s">
        <v>26</v>
      </c>
      <c r="E12" t="s">
        <v>43</v>
      </c>
      <c r="F12" t="s">
        <v>27</v>
      </c>
      <c r="G12" t="s">
        <v>33</v>
      </c>
      <c r="H12" t="s">
        <v>59</v>
      </c>
      <c r="I12" t="s">
        <v>30</v>
      </c>
      <c r="J12">
        <v>1</v>
      </c>
      <c r="K12">
        <v>32000</v>
      </c>
      <c r="L12">
        <v>0</v>
      </c>
      <c r="M12">
        <v>32000</v>
      </c>
      <c r="N12">
        <v>19000</v>
      </c>
      <c r="O12" t="s">
        <v>23</v>
      </c>
      <c r="P12" t="s">
        <v>58</v>
      </c>
    </row>
    <row r="13" spans="1:16" x14ac:dyDescent="0.25">
      <c r="A13">
        <v>100012</v>
      </c>
      <c r="B13" s="1">
        <v>46120</v>
      </c>
      <c r="C13" t="s">
        <v>35</v>
      </c>
      <c r="D13" t="s">
        <v>36</v>
      </c>
      <c r="E13" t="s">
        <v>37</v>
      </c>
      <c r="F13" t="s">
        <v>44</v>
      </c>
      <c r="G13" t="s">
        <v>60</v>
      </c>
      <c r="H13" t="s">
        <v>61</v>
      </c>
      <c r="I13" t="s">
        <v>22</v>
      </c>
      <c r="J13">
        <v>1</v>
      </c>
      <c r="K13">
        <v>9000</v>
      </c>
      <c r="L13">
        <v>0</v>
      </c>
      <c r="M13">
        <v>9000</v>
      </c>
      <c r="N13">
        <v>3500</v>
      </c>
      <c r="O13" t="s">
        <v>23</v>
      </c>
      <c r="P13" t="s">
        <v>58</v>
      </c>
    </row>
    <row r="14" spans="1:16" x14ac:dyDescent="0.25">
      <c r="A14">
        <v>100013</v>
      </c>
      <c r="B14" s="1">
        <v>46153</v>
      </c>
      <c r="C14" t="s">
        <v>50</v>
      </c>
      <c r="D14" t="s">
        <v>51</v>
      </c>
      <c r="E14" t="s">
        <v>43</v>
      </c>
      <c r="F14" t="s">
        <v>19</v>
      </c>
      <c r="G14" t="s">
        <v>62</v>
      </c>
      <c r="H14" t="s">
        <v>63</v>
      </c>
      <c r="I14" t="s">
        <v>22</v>
      </c>
      <c r="J14">
        <v>2</v>
      </c>
      <c r="K14">
        <v>24000</v>
      </c>
      <c r="L14">
        <v>0</v>
      </c>
      <c r="M14">
        <v>48000</v>
      </c>
      <c r="N14">
        <v>15000</v>
      </c>
      <c r="O14" t="s">
        <v>23</v>
      </c>
      <c r="P14" t="s">
        <v>64</v>
      </c>
    </row>
    <row r="15" spans="1:16" x14ac:dyDescent="0.25">
      <c r="A15">
        <v>100014</v>
      </c>
      <c r="B15" s="1">
        <v>46195</v>
      </c>
      <c r="C15" t="s">
        <v>16</v>
      </c>
      <c r="D15" t="s">
        <v>17</v>
      </c>
      <c r="E15" t="s">
        <v>18</v>
      </c>
      <c r="F15" t="s">
        <v>44</v>
      </c>
      <c r="G15" t="s">
        <v>65</v>
      </c>
      <c r="H15" t="s">
        <v>66</v>
      </c>
      <c r="I15" t="s">
        <v>30</v>
      </c>
      <c r="J15">
        <v>2</v>
      </c>
      <c r="K15">
        <v>28000</v>
      </c>
      <c r="L15">
        <v>0.25</v>
      </c>
      <c r="M15">
        <v>42000</v>
      </c>
      <c r="O15" t="s">
        <v>23</v>
      </c>
      <c r="P15" t="s">
        <v>54</v>
      </c>
    </row>
    <row r="16" spans="1:16" x14ac:dyDescent="0.25">
      <c r="A16">
        <v>100015</v>
      </c>
      <c r="B16" s="1">
        <v>46031</v>
      </c>
      <c r="C16" t="s">
        <v>55</v>
      </c>
      <c r="D16" t="s">
        <v>56</v>
      </c>
      <c r="E16" t="s">
        <v>43</v>
      </c>
      <c r="F16" t="s">
        <v>27</v>
      </c>
      <c r="G16" t="s">
        <v>28</v>
      </c>
      <c r="H16" t="s">
        <v>67</v>
      </c>
      <c r="I16" t="s">
        <v>22</v>
      </c>
      <c r="J16">
        <v>2</v>
      </c>
      <c r="K16">
        <v>165000</v>
      </c>
      <c r="L16">
        <v>0</v>
      </c>
      <c r="M16">
        <v>330000</v>
      </c>
      <c r="N16">
        <v>112000</v>
      </c>
      <c r="O16" t="s">
        <v>23</v>
      </c>
      <c r="P16" t="s">
        <v>40</v>
      </c>
    </row>
    <row r="17" spans="1:16" x14ac:dyDescent="0.25">
      <c r="A17">
        <v>100016</v>
      </c>
      <c r="B17" s="1">
        <v>46228</v>
      </c>
      <c r="C17" t="s">
        <v>42</v>
      </c>
      <c r="D17" t="s">
        <v>26</v>
      </c>
      <c r="E17" t="s">
        <v>37</v>
      </c>
      <c r="F17" t="s">
        <v>44</v>
      </c>
      <c r="G17" t="s">
        <v>45</v>
      </c>
      <c r="H17" t="s">
        <v>68</v>
      </c>
      <c r="I17" t="s">
        <v>22</v>
      </c>
      <c r="J17">
        <v>1</v>
      </c>
      <c r="K17">
        <v>6500</v>
      </c>
      <c r="L17">
        <v>0.1</v>
      </c>
      <c r="M17">
        <v>4680</v>
      </c>
      <c r="N17">
        <v>2200</v>
      </c>
      <c r="O17" t="s">
        <v>23</v>
      </c>
      <c r="P17" t="s">
        <v>31</v>
      </c>
    </row>
    <row r="18" spans="1:16" x14ac:dyDescent="0.25">
      <c r="A18">
        <v>100017</v>
      </c>
      <c r="B18" s="1">
        <v>46032</v>
      </c>
      <c r="C18" t="s">
        <v>35</v>
      </c>
      <c r="D18" t="s">
        <v>36</v>
      </c>
      <c r="E18" t="s">
        <v>18</v>
      </c>
      <c r="F18" t="s">
        <v>19</v>
      </c>
      <c r="G18" t="s">
        <v>52</v>
      </c>
      <c r="H18" t="s">
        <v>69</v>
      </c>
      <c r="I18" t="s">
        <v>22</v>
      </c>
      <c r="J18">
        <v>2</v>
      </c>
      <c r="K18">
        <v>42000</v>
      </c>
      <c r="L18">
        <v>0</v>
      </c>
      <c r="M18">
        <v>84000</v>
      </c>
      <c r="N18">
        <v>28000</v>
      </c>
      <c r="O18" t="s">
        <v>23</v>
      </c>
      <c r="P18" t="s">
        <v>64</v>
      </c>
    </row>
    <row r="19" spans="1:16" x14ac:dyDescent="0.25">
      <c r="A19">
        <v>100018</v>
      </c>
      <c r="B19" s="1">
        <v>46141</v>
      </c>
      <c r="C19" t="s">
        <v>55</v>
      </c>
      <c r="D19" t="s">
        <v>56</v>
      </c>
      <c r="E19" t="s">
        <v>43</v>
      </c>
      <c r="F19" t="s">
        <v>44</v>
      </c>
      <c r="G19" t="s">
        <v>45</v>
      </c>
      <c r="H19" t="s">
        <v>70</v>
      </c>
      <c r="I19" t="s">
        <v>30</v>
      </c>
      <c r="J19">
        <v>22</v>
      </c>
      <c r="K19">
        <v>6500</v>
      </c>
      <c r="L19">
        <v>0.15</v>
      </c>
      <c r="M19">
        <v>121550</v>
      </c>
      <c r="N19">
        <v>2200</v>
      </c>
      <c r="O19" t="s">
        <v>23</v>
      </c>
      <c r="P19" t="s">
        <v>31</v>
      </c>
    </row>
    <row r="20" spans="1:16" x14ac:dyDescent="0.25">
      <c r="A20">
        <v>100019</v>
      </c>
      <c r="B20" s="1">
        <v>46148</v>
      </c>
      <c r="C20" t="s">
        <v>25</v>
      </c>
      <c r="D20" t="s">
        <v>26</v>
      </c>
      <c r="E20" t="s">
        <v>43</v>
      </c>
      <c r="F20" t="s">
        <v>27</v>
      </c>
      <c r="G20" t="s">
        <v>38</v>
      </c>
      <c r="H20" t="s">
        <v>71</v>
      </c>
      <c r="I20" t="s">
        <v>30</v>
      </c>
      <c r="J20">
        <v>1</v>
      </c>
      <c r="K20">
        <v>26000</v>
      </c>
      <c r="L20">
        <v>0.15</v>
      </c>
      <c r="M20">
        <v>22100</v>
      </c>
      <c r="N20">
        <v>15000</v>
      </c>
      <c r="O20" t="s">
        <v>23</v>
      </c>
      <c r="P20" t="s">
        <v>47</v>
      </c>
    </row>
    <row r="21" spans="1:16" x14ac:dyDescent="0.25">
      <c r="A21">
        <v>100020</v>
      </c>
      <c r="B21" s="1">
        <v>46131</v>
      </c>
      <c r="C21" t="s">
        <v>16</v>
      </c>
      <c r="D21" t="s">
        <v>17</v>
      </c>
      <c r="E21" t="s">
        <v>43</v>
      </c>
      <c r="F21" t="s">
        <v>27</v>
      </c>
      <c r="G21" t="s">
        <v>38</v>
      </c>
      <c r="H21" t="s">
        <v>72</v>
      </c>
      <c r="I21" t="s">
        <v>30</v>
      </c>
      <c r="J21">
        <v>1</v>
      </c>
      <c r="K21">
        <v>26000</v>
      </c>
      <c r="L21">
        <v>0.25</v>
      </c>
      <c r="M21">
        <v>19500</v>
      </c>
      <c r="O21" t="s">
        <v>23</v>
      </c>
      <c r="P21" t="s">
        <v>64</v>
      </c>
    </row>
    <row r="22" spans="1:16" x14ac:dyDescent="0.25">
      <c r="A22">
        <v>100021</v>
      </c>
      <c r="B22" s="1">
        <v>46148</v>
      </c>
      <c r="C22" t="s">
        <v>16</v>
      </c>
      <c r="D22" t="s">
        <v>17</v>
      </c>
      <c r="E22" t="s">
        <v>18</v>
      </c>
      <c r="F22" t="s">
        <v>27</v>
      </c>
      <c r="G22" t="s">
        <v>38</v>
      </c>
      <c r="H22" t="s">
        <v>73</v>
      </c>
      <c r="I22" t="s">
        <v>22</v>
      </c>
      <c r="J22">
        <v>1</v>
      </c>
      <c r="K22">
        <v>26000</v>
      </c>
      <c r="L22">
        <v>0</v>
      </c>
      <c r="M22">
        <v>26000</v>
      </c>
      <c r="N22">
        <v>15000</v>
      </c>
      <c r="O22" t="s">
        <v>23</v>
      </c>
      <c r="P22" t="s">
        <v>31</v>
      </c>
    </row>
    <row r="23" spans="1:16" x14ac:dyDescent="0.25">
      <c r="A23">
        <v>100022</v>
      </c>
      <c r="B23" s="1">
        <v>46033</v>
      </c>
      <c r="C23" t="s">
        <v>50</v>
      </c>
      <c r="D23" t="s">
        <v>51</v>
      </c>
      <c r="E23" t="s">
        <v>18</v>
      </c>
      <c r="F23" t="s">
        <v>44</v>
      </c>
      <c r="G23" t="s">
        <v>65</v>
      </c>
      <c r="H23" t="s">
        <v>66</v>
      </c>
      <c r="I23" t="s">
        <v>22</v>
      </c>
      <c r="J23">
        <v>1</v>
      </c>
      <c r="K23">
        <v>28000</v>
      </c>
      <c r="L23">
        <v>0.05</v>
      </c>
      <c r="M23">
        <v>26600</v>
      </c>
      <c r="N23">
        <v>16000</v>
      </c>
      <c r="O23" t="s">
        <v>23</v>
      </c>
      <c r="P23" t="s">
        <v>47</v>
      </c>
    </row>
    <row r="24" spans="1:16" x14ac:dyDescent="0.25">
      <c r="A24">
        <v>100023</v>
      </c>
      <c r="B24" s="1">
        <v>46052</v>
      </c>
      <c r="C24" t="s">
        <v>32</v>
      </c>
      <c r="D24" t="s">
        <v>17</v>
      </c>
      <c r="E24" t="s">
        <v>37</v>
      </c>
      <c r="F24" t="s">
        <v>27</v>
      </c>
      <c r="G24" t="s">
        <v>33</v>
      </c>
      <c r="H24" t="s">
        <v>74</v>
      </c>
      <c r="I24" t="s">
        <v>30</v>
      </c>
      <c r="J24">
        <v>1</v>
      </c>
      <c r="K24">
        <v>32000</v>
      </c>
      <c r="L24">
        <v>0.15</v>
      </c>
      <c r="M24">
        <v>27200</v>
      </c>
      <c r="N24">
        <v>19000</v>
      </c>
      <c r="O24" t="s">
        <v>23</v>
      </c>
      <c r="P24" t="s">
        <v>58</v>
      </c>
    </row>
    <row r="25" spans="1:16" x14ac:dyDescent="0.25">
      <c r="A25">
        <v>100024</v>
      </c>
      <c r="B25" s="1">
        <v>46150</v>
      </c>
      <c r="C25" t="s">
        <v>32</v>
      </c>
      <c r="D25" t="s">
        <v>17</v>
      </c>
      <c r="E25" t="s">
        <v>43</v>
      </c>
      <c r="F25" t="s">
        <v>19</v>
      </c>
      <c r="G25" t="s">
        <v>20</v>
      </c>
      <c r="H25" t="s">
        <v>75</v>
      </c>
      <c r="I25" t="s">
        <v>22</v>
      </c>
      <c r="J25">
        <v>2</v>
      </c>
      <c r="K25">
        <v>58000</v>
      </c>
      <c r="L25">
        <v>0.2</v>
      </c>
      <c r="M25">
        <v>92800</v>
      </c>
      <c r="O25" t="s">
        <v>76</v>
      </c>
      <c r="P25" t="s">
        <v>40</v>
      </c>
    </row>
    <row r="26" spans="1:16" x14ac:dyDescent="0.25">
      <c r="A26">
        <v>100025</v>
      </c>
      <c r="B26" s="1">
        <v>46027</v>
      </c>
      <c r="C26" t="s">
        <v>35</v>
      </c>
      <c r="D26" t="s">
        <v>36</v>
      </c>
      <c r="E26" t="s">
        <v>43</v>
      </c>
      <c r="F26" t="s">
        <v>19</v>
      </c>
      <c r="G26" t="s">
        <v>20</v>
      </c>
      <c r="H26" t="s">
        <v>77</v>
      </c>
      <c r="I26" t="s">
        <v>30</v>
      </c>
      <c r="J26">
        <v>5</v>
      </c>
      <c r="K26">
        <v>58000</v>
      </c>
      <c r="L26">
        <v>0.05</v>
      </c>
      <c r="M26">
        <v>275500</v>
      </c>
      <c r="N26">
        <v>39000</v>
      </c>
      <c r="O26" t="s">
        <v>23</v>
      </c>
      <c r="P26" t="s">
        <v>58</v>
      </c>
    </row>
    <row r="27" spans="1:16" x14ac:dyDescent="0.25">
      <c r="A27">
        <v>100026</v>
      </c>
      <c r="B27" s="1">
        <v>46203</v>
      </c>
      <c r="C27" t="s">
        <v>50</v>
      </c>
      <c r="D27" t="s">
        <v>51</v>
      </c>
      <c r="E27" t="s">
        <v>43</v>
      </c>
      <c r="F27" t="s">
        <v>44</v>
      </c>
      <c r="G27" t="s">
        <v>60</v>
      </c>
      <c r="H27" t="s">
        <v>78</v>
      </c>
      <c r="I27" t="s">
        <v>30</v>
      </c>
      <c r="J27">
        <v>2</v>
      </c>
      <c r="K27">
        <v>9000</v>
      </c>
      <c r="L27">
        <v>0.1</v>
      </c>
      <c r="M27">
        <v>16200</v>
      </c>
      <c r="O27" t="s">
        <v>23</v>
      </c>
      <c r="P27" t="s">
        <v>24</v>
      </c>
    </row>
    <row r="28" spans="1:16" x14ac:dyDescent="0.25">
      <c r="A28">
        <v>100027</v>
      </c>
      <c r="B28" s="1">
        <v>46142</v>
      </c>
      <c r="C28" t="s">
        <v>35</v>
      </c>
      <c r="D28" t="s">
        <v>36</v>
      </c>
      <c r="E28" t="s">
        <v>18</v>
      </c>
      <c r="F28" t="s">
        <v>19</v>
      </c>
      <c r="G28" t="s">
        <v>20</v>
      </c>
      <c r="H28" t="s">
        <v>79</v>
      </c>
      <c r="I28" t="s">
        <v>22</v>
      </c>
      <c r="J28">
        <v>4</v>
      </c>
      <c r="K28">
        <v>58000</v>
      </c>
      <c r="L28">
        <v>0.05</v>
      </c>
      <c r="M28">
        <v>220400</v>
      </c>
      <c r="N28">
        <v>39000</v>
      </c>
      <c r="O28" t="s">
        <v>23</v>
      </c>
      <c r="P28" t="s">
        <v>58</v>
      </c>
    </row>
    <row r="29" spans="1:16" x14ac:dyDescent="0.25">
      <c r="A29">
        <v>100028</v>
      </c>
      <c r="B29" s="1">
        <v>46156</v>
      </c>
      <c r="C29" t="s">
        <v>32</v>
      </c>
      <c r="D29" t="s">
        <v>17</v>
      </c>
      <c r="E29" t="s">
        <v>37</v>
      </c>
      <c r="F29" t="s">
        <v>27</v>
      </c>
      <c r="G29" t="s">
        <v>38</v>
      </c>
      <c r="H29" t="s">
        <v>80</v>
      </c>
      <c r="I29" t="s">
        <v>30</v>
      </c>
      <c r="J29">
        <v>22</v>
      </c>
      <c r="K29">
        <v>26000</v>
      </c>
      <c r="L29">
        <v>0.25</v>
      </c>
      <c r="M29">
        <v>429000</v>
      </c>
      <c r="N29">
        <v>15000</v>
      </c>
      <c r="O29" t="s">
        <v>23</v>
      </c>
      <c r="P29" t="s">
        <v>47</v>
      </c>
    </row>
    <row r="30" spans="1:16" x14ac:dyDescent="0.25">
      <c r="A30">
        <v>100029</v>
      </c>
      <c r="B30" s="1">
        <v>46103</v>
      </c>
      <c r="C30" t="s">
        <v>32</v>
      </c>
      <c r="D30" t="s">
        <v>17</v>
      </c>
      <c r="E30" t="s">
        <v>43</v>
      </c>
      <c r="F30" t="s">
        <v>19</v>
      </c>
      <c r="G30" t="s">
        <v>20</v>
      </c>
      <c r="H30" t="s">
        <v>81</v>
      </c>
      <c r="I30" t="s">
        <v>30</v>
      </c>
      <c r="J30">
        <v>5</v>
      </c>
      <c r="K30">
        <v>58000</v>
      </c>
      <c r="L30">
        <v>0.1</v>
      </c>
      <c r="M30">
        <v>261000</v>
      </c>
      <c r="O30" t="s">
        <v>23</v>
      </c>
      <c r="P30" t="s">
        <v>24</v>
      </c>
    </row>
    <row r="31" spans="1:16" x14ac:dyDescent="0.25">
      <c r="A31">
        <v>100030</v>
      </c>
      <c r="B31" s="1">
        <v>46209</v>
      </c>
      <c r="C31" t="s">
        <v>35</v>
      </c>
      <c r="D31" t="s">
        <v>36</v>
      </c>
      <c r="E31" t="s">
        <v>37</v>
      </c>
      <c r="F31" t="s">
        <v>27</v>
      </c>
      <c r="G31" t="s">
        <v>38</v>
      </c>
      <c r="H31" t="s">
        <v>82</v>
      </c>
      <c r="I31" t="s">
        <v>22</v>
      </c>
      <c r="J31">
        <v>1</v>
      </c>
      <c r="K31">
        <v>26000</v>
      </c>
      <c r="L31">
        <v>0.05</v>
      </c>
      <c r="M31">
        <v>24700</v>
      </c>
      <c r="N31">
        <v>15000</v>
      </c>
      <c r="O31" t="s">
        <v>23</v>
      </c>
      <c r="P31" t="s">
        <v>58</v>
      </c>
    </row>
    <row r="32" spans="1:16" x14ac:dyDescent="0.25">
      <c r="A32">
        <v>100031</v>
      </c>
      <c r="B32" s="1">
        <v>46182</v>
      </c>
      <c r="C32" t="s">
        <v>32</v>
      </c>
      <c r="D32" t="s">
        <v>17</v>
      </c>
      <c r="E32" t="s">
        <v>43</v>
      </c>
      <c r="F32" t="s">
        <v>19</v>
      </c>
      <c r="G32" t="s">
        <v>20</v>
      </c>
      <c r="H32" t="s">
        <v>83</v>
      </c>
      <c r="I32" t="s">
        <v>22</v>
      </c>
      <c r="J32">
        <v>2</v>
      </c>
      <c r="K32">
        <v>58000</v>
      </c>
      <c r="L32">
        <v>0.15</v>
      </c>
      <c r="M32">
        <v>98600</v>
      </c>
      <c r="N32">
        <v>39000</v>
      </c>
      <c r="O32" t="s">
        <v>23</v>
      </c>
      <c r="P32" t="s">
        <v>84</v>
      </c>
    </row>
    <row r="33" spans="1:16" x14ac:dyDescent="0.25">
      <c r="A33">
        <v>100032</v>
      </c>
      <c r="B33" s="1">
        <v>46109</v>
      </c>
      <c r="C33" t="s">
        <v>55</v>
      </c>
      <c r="D33" t="s">
        <v>56</v>
      </c>
      <c r="E33" t="s">
        <v>37</v>
      </c>
      <c r="F33" t="s">
        <v>19</v>
      </c>
      <c r="G33" t="s">
        <v>62</v>
      </c>
      <c r="H33" t="s">
        <v>49</v>
      </c>
      <c r="I33" t="s">
        <v>22</v>
      </c>
      <c r="J33">
        <v>1</v>
      </c>
      <c r="K33">
        <v>24000</v>
      </c>
      <c r="L33">
        <v>0.05</v>
      </c>
      <c r="M33">
        <v>22800</v>
      </c>
      <c r="N33">
        <v>15000</v>
      </c>
      <c r="O33" t="s">
        <v>23</v>
      </c>
      <c r="P33" t="s">
        <v>31</v>
      </c>
    </row>
    <row r="34" spans="1:16" x14ac:dyDescent="0.25">
      <c r="A34">
        <v>100033</v>
      </c>
      <c r="B34" s="1">
        <v>46152</v>
      </c>
      <c r="C34" t="s">
        <v>25</v>
      </c>
      <c r="D34" t="s">
        <v>26</v>
      </c>
      <c r="E34" t="s">
        <v>43</v>
      </c>
      <c r="F34" t="s">
        <v>19</v>
      </c>
      <c r="G34" t="s">
        <v>20</v>
      </c>
      <c r="H34" t="s">
        <v>85</v>
      </c>
      <c r="I34" t="s">
        <v>22</v>
      </c>
      <c r="J34">
        <v>3</v>
      </c>
      <c r="K34">
        <v>58000</v>
      </c>
      <c r="L34">
        <v>0</v>
      </c>
      <c r="M34">
        <v>174000</v>
      </c>
      <c r="N34">
        <v>39000</v>
      </c>
      <c r="O34" t="s">
        <v>23</v>
      </c>
      <c r="P34" t="s">
        <v>84</v>
      </c>
    </row>
    <row r="35" spans="1:16" x14ac:dyDescent="0.25">
      <c r="A35">
        <v>100034</v>
      </c>
      <c r="B35" s="1">
        <v>46157</v>
      </c>
      <c r="C35" t="s">
        <v>55</v>
      </c>
      <c r="D35" t="s">
        <v>56</v>
      </c>
      <c r="E35" t="s">
        <v>43</v>
      </c>
      <c r="F35" t="s">
        <v>19</v>
      </c>
      <c r="G35" t="s">
        <v>20</v>
      </c>
      <c r="H35" t="s">
        <v>86</v>
      </c>
      <c r="I35" t="s">
        <v>30</v>
      </c>
      <c r="J35">
        <v>1</v>
      </c>
      <c r="K35">
        <v>58000</v>
      </c>
      <c r="L35">
        <v>0.15</v>
      </c>
      <c r="M35">
        <v>49300</v>
      </c>
      <c r="N35">
        <v>39000</v>
      </c>
      <c r="O35" t="s">
        <v>23</v>
      </c>
      <c r="P35" t="s">
        <v>47</v>
      </c>
    </row>
    <row r="36" spans="1:16" x14ac:dyDescent="0.25">
      <c r="A36">
        <v>100035</v>
      </c>
      <c r="B36" s="1">
        <v>46076</v>
      </c>
      <c r="C36" t="s">
        <v>35</v>
      </c>
      <c r="D36" t="s">
        <v>36</v>
      </c>
      <c r="E36" t="s">
        <v>43</v>
      </c>
      <c r="F36" t="s">
        <v>44</v>
      </c>
      <c r="G36" t="s">
        <v>65</v>
      </c>
      <c r="H36" t="s">
        <v>87</v>
      </c>
      <c r="I36" t="s">
        <v>30</v>
      </c>
      <c r="J36">
        <v>25</v>
      </c>
      <c r="K36">
        <v>28000</v>
      </c>
      <c r="L36">
        <v>0.05</v>
      </c>
      <c r="M36">
        <v>665000</v>
      </c>
      <c r="N36">
        <v>16000</v>
      </c>
      <c r="O36" t="s">
        <v>23</v>
      </c>
      <c r="P36" t="s">
        <v>64</v>
      </c>
    </row>
    <row r="37" spans="1:16" x14ac:dyDescent="0.25">
      <c r="A37">
        <v>100036</v>
      </c>
      <c r="B37" s="1">
        <v>46076</v>
      </c>
      <c r="C37" t="s">
        <v>35</v>
      </c>
      <c r="D37" t="s">
        <v>36</v>
      </c>
      <c r="E37" t="s">
        <v>43</v>
      </c>
      <c r="F37" t="s">
        <v>27</v>
      </c>
      <c r="G37" t="s">
        <v>33</v>
      </c>
      <c r="H37" t="s">
        <v>88</v>
      </c>
      <c r="I37" t="s">
        <v>22</v>
      </c>
      <c r="J37">
        <v>2</v>
      </c>
      <c r="K37">
        <v>32000</v>
      </c>
      <c r="L37">
        <v>0.05</v>
      </c>
      <c r="M37">
        <v>60800</v>
      </c>
      <c r="N37">
        <v>19000</v>
      </c>
      <c r="O37" t="s">
        <v>76</v>
      </c>
      <c r="P37" t="s">
        <v>47</v>
      </c>
    </row>
    <row r="38" spans="1:16" x14ac:dyDescent="0.25">
      <c r="A38">
        <v>100037</v>
      </c>
      <c r="B38" s="1">
        <v>46124</v>
      </c>
      <c r="C38" t="s">
        <v>32</v>
      </c>
      <c r="D38" t="s">
        <v>17</v>
      </c>
      <c r="E38" t="s">
        <v>43</v>
      </c>
      <c r="F38" t="s">
        <v>44</v>
      </c>
      <c r="G38" t="s">
        <v>65</v>
      </c>
      <c r="H38" t="s">
        <v>89</v>
      </c>
      <c r="I38" t="s">
        <v>22</v>
      </c>
      <c r="J38">
        <v>2</v>
      </c>
      <c r="K38">
        <v>28000</v>
      </c>
      <c r="L38">
        <v>0</v>
      </c>
      <c r="M38">
        <v>56000</v>
      </c>
      <c r="N38">
        <v>16000</v>
      </c>
      <c r="O38" t="s">
        <v>23</v>
      </c>
      <c r="P38" t="s">
        <v>40</v>
      </c>
    </row>
    <row r="39" spans="1:16" x14ac:dyDescent="0.25">
      <c r="A39">
        <v>100038</v>
      </c>
      <c r="B39" s="1">
        <v>46037</v>
      </c>
      <c r="C39" t="s">
        <v>35</v>
      </c>
      <c r="D39" t="s">
        <v>36</v>
      </c>
      <c r="E39" t="s">
        <v>37</v>
      </c>
      <c r="F39" t="s">
        <v>27</v>
      </c>
      <c r="G39" t="s">
        <v>33</v>
      </c>
      <c r="H39" t="s">
        <v>90</v>
      </c>
      <c r="I39" t="s">
        <v>30</v>
      </c>
      <c r="J39">
        <v>2</v>
      </c>
      <c r="K39">
        <v>32000</v>
      </c>
      <c r="L39">
        <v>0</v>
      </c>
      <c r="M39">
        <v>64000</v>
      </c>
      <c r="N39">
        <v>19000</v>
      </c>
      <c r="O39" t="s">
        <v>23</v>
      </c>
      <c r="P39" t="s">
        <v>84</v>
      </c>
    </row>
    <row r="40" spans="1:16" x14ac:dyDescent="0.25">
      <c r="A40">
        <v>100039</v>
      </c>
      <c r="B40" s="1">
        <v>46116</v>
      </c>
      <c r="C40" t="s">
        <v>16</v>
      </c>
      <c r="D40" t="s">
        <v>17</v>
      </c>
      <c r="E40" t="s">
        <v>37</v>
      </c>
      <c r="F40" t="s">
        <v>44</v>
      </c>
      <c r="G40" t="s">
        <v>45</v>
      </c>
      <c r="H40" t="s">
        <v>91</v>
      </c>
      <c r="I40" t="s">
        <v>22</v>
      </c>
      <c r="J40">
        <v>3</v>
      </c>
      <c r="K40">
        <v>6500</v>
      </c>
      <c r="L40">
        <v>0.1</v>
      </c>
      <c r="M40">
        <v>17550</v>
      </c>
      <c r="N40">
        <v>2200</v>
      </c>
      <c r="O40" t="s">
        <v>23</v>
      </c>
      <c r="P40" t="s">
        <v>40</v>
      </c>
    </row>
    <row r="41" spans="1:16" x14ac:dyDescent="0.25">
      <c r="A41">
        <v>100040</v>
      </c>
      <c r="B41" s="1">
        <v>46145</v>
      </c>
      <c r="C41" t="s">
        <v>32</v>
      </c>
      <c r="D41" t="s">
        <v>17</v>
      </c>
      <c r="E41" t="s">
        <v>18</v>
      </c>
      <c r="F41" t="s">
        <v>19</v>
      </c>
      <c r="G41" t="s">
        <v>20</v>
      </c>
      <c r="H41" t="s">
        <v>92</v>
      </c>
      <c r="I41" t="s">
        <v>30</v>
      </c>
      <c r="J41">
        <v>1</v>
      </c>
      <c r="K41">
        <v>58000</v>
      </c>
      <c r="L41">
        <v>0.05</v>
      </c>
      <c r="M41">
        <v>55100</v>
      </c>
      <c r="N41">
        <v>39000</v>
      </c>
      <c r="O41" t="s">
        <v>23</v>
      </c>
      <c r="P41" t="s">
        <v>31</v>
      </c>
    </row>
    <row r="42" spans="1:16" x14ac:dyDescent="0.25">
      <c r="A42">
        <v>100041</v>
      </c>
      <c r="B42" s="1">
        <v>46035</v>
      </c>
      <c r="C42" t="s">
        <v>55</v>
      </c>
      <c r="D42" t="s">
        <v>56</v>
      </c>
      <c r="E42" t="s">
        <v>18</v>
      </c>
      <c r="F42" t="s">
        <v>27</v>
      </c>
      <c r="G42" t="s">
        <v>33</v>
      </c>
      <c r="H42" t="s">
        <v>93</v>
      </c>
      <c r="I42" t="s">
        <v>30</v>
      </c>
      <c r="J42">
        <v>3</v>
      </c>
      <c r="K42">
        <v>32000</v>
      </c>
      <c r="L42">
        <v>0.1</v>
      </c>
      <c r="M42">
        <v>86400</v>
      </c>
      <c r="N42">
        <v>19000</v>
      </c>
      <c r="O42" t="s">
        <v>23</v>
      </c>
      <c r="P42" t="s">
        <v>47</v>
      </c>
    </row>
    <row r="43" spans="1:16" x14ac:dyDescent="0.25">
      <c r="A43">
        <v>100042</v>
      </c>
      <c r="B43" s="1">
        <v>46151</v>
      </c>
      <c r="C43" t="s">
        <v>50</v>
      </c>
      <c r="D43" t="s">
        <v>51</v>
      </c>
      <c r="E43" t="s">
        <v>18</v>
      </c>
      <c r="F43" t="s">
        <v>27</v>
      </c>
      <c r="G43" t="s">
        <v>28</v>
      </c>
      <c r="H43" t="s">
        <v>94</v>
      </c>
      <c r="I43" t="s">
        <v>30</v>
      </c>
      <c r="J43">
        <v>2</v>
      </c>
      <c r="K43">
        <v>165000</v>
      </c>
      <c r="L43">
        <v>0</v>
      </c>
      <c r="M43">
        <v>330000</v>
      </c>
      <c r="N43">
        <v>112000</v>
      </c>
      <c r="O43" t="s">
        <v>23</v>
      </c>
      <c r="P43" t="s">
        <v>24</v>
      </c>
    </row>
    <row r="44" spans="1:16" x14ac:dyDescent="0.25">
      <c r="A44">
        <v>100043</v>
      </c>
      <c r="B44" s="1">
        <v>46188</v>
      </c>
      <c r="C44" t="s">
        <v>50</v>
      </c>
      <c r="D44" t="s">
        <v>51</v>
      </c>
      <c r="E44" t="s">
        <v>43</v>
      </c>
      <c r="F44" t="s">
        <v>19</v>
      </c>
      <c r="G44" t="s">
        <v>62</v>
      </c>
      <c r="H44" t="s">
        <v>95</v>
      </c>
      <c r="I44" t="s">
        <v>30</v>
      </c>
      <c r="J44">
        <v>2</v>
      </c>
      <c r="K44">
        <v>24000</v>
      </c>
      <c r="L44">
        <v>0.15</v>
      </c>
      <c r="M44">
        <v>40800</v>
      </c>
      <c r="N44">
        <v>15000</v>
      </c>
      <c r="O44" t="s">
        <v>23</v>
      </c>
      <c r="P44" t="s">
        <v>47</v>
      </c>
    </row>
    <row r="45" spans="1:16" x14ac:dyDescent="0.25">
      <c r="A45">
        <v>100044</v>
      </c>
      <c r="B45" s="1">
        <v>46167</v>
      </c>
      <c r="C45" t="s">
        <v>32</v>
      </c>
      <c r="D45" t="s">
        <v>17</v>
      </c>
      <c r="E45" t="s">
        <v>37</v>
      </c>
      <c r="F45" t="s">
        <v>19</v>
      </c>
      <c r="G45" t="s">
        <v>62</v>
      </c>
      <c r="H45" t="s">
        <v>96</v>
      </c>
      <c r="I45" t="s">
        <v>30</v>
      </c>
      <c r="J45">
        <v>1</v>
      </c>
      <c r="K45">
        <v>24000</v>
      </c>
      <c r="L45">
        <v>0.2</v>
      </c>
      <c r="M45">
        <v>19200</v>
      </c>
      <c r="N45">
        <v>15000</v>
      </c>
      <c r="O45" t="s">
        <v>23</v>
      </c>
      <c r="P45" t="s">
        <v>54</v>
      </c>
    </row>
    <row r="46" spans="1:16" x14ac:dyDescent="0.25">
      <c r="A46">
        <v>100045</v>
      </c>
      <c r="B46" s="1">
        <v>46029</v>
      </c>
      <c r="C46" t="s">
        <v>42</v>
      </c>
      <c r="D46" t="s">
        <v>26</v>
      </c>
      <c r="E46" t="s">
        <v>37</v>
      </c>
      <c r="F46" t="s">
        <v>27</v>
      </c>
      <c r="G46" t="s">
        <v>33</v>
      </c>
      <c r="H46" t="s">
        <v>97</v>
      </c>
      <c r="I46" t="s">
        <v>30</v>
      </c>
      <c r="J46">
        <v>1</v>
      </c>
      <c r="K46">
        <v>32000</v>
      </c>
      <c r="L46">
        <v>0</v>
      </c>
      <c r="M46">
        <v>32000</v>
      </c>
      <c r="N46">
        <v>19000</v>
      </c>
      <c r="O46" t="s">
        <v>76</v>
      </c>
      <c r="P46" t="s">
        <v>54</v>
      </c>
    </row>
    <row r="47" spans="1:16" x14ac:dyDescent="0.25">
      <c r="A47">
        <v>100046</v>
      </c>
      <c r="B47" s="1">
        <v>46145</v>
      </c>
      <c r="C47" t="s">
        <v>35</v>
      </c>
      <c r="D47" t="s">
        <v>36</v>
      </c>
      <c r="E47" t="s">
        <v>43</v>
      </c>
      <c r="F47" t="s">
        <v>19</v>
      </c>
      <c r="G47" t="s">
        <v>62</v>
      </c>
      <c r="H47" t="s">
        <v>98</v>
      </c>
      <c r="I47" t="s">
        <v>30</v>
      </c>
      <c r="J47">
        <v>3</v>
      </c>
      <c r="K47">
        <v>24000</v>
      </c>
      <c r="L47">
        <v>0.05</v>
      </c>
      <c r="M47">
        <v>68400</v>
      </c>
      <c r="N47">
        <v>15000</v>
      </c>
      <c r="O47" t="s">
        <v>23</v>
      </c>
      <c r="P47" t="s">
        <v>54</v>
      </c>
    </row>
    <row r="48" spans="1:16" x14ac:dyDescent="0.25">
      <c r="A48">
        <v>100047</v>
      </c>
      <c r="B48" s="1">
        <v>46132</v>
      </c>
      <c r="C48" t="s">
        <v>25</v>
      </c>
      <c r="D48" t="s">
        <v>26</v>
      </c>
      <c r="E48" t="s">
        <v>43</v>
      </c>
      <c r="F48" t="s">
        <v>19</v>
      </c>
      <c r="G48" t="s">
        <v>20</v>
      </c>
      <c r="H48" t="s">
        <v>99</v>
      </c>
      <c r="I48" t="s">
        <v>30</v>
      </c>
      <c r="J48">
        <v>4</v>
      </c>
      <c r="K48">
        <v>58000</v>
      </c>
      <c r="L48">
        <v>0</v>
      </c>
      <c r="M48">
        <v>232000</v>
      </c>
      <c r="N48">
        <v>39000</v>
      </c>
      <c r="O48" t="s">
        <v>23</v>
      </c>
      <c r="P48" t="s">
        <v>84</v>
      </c>
    </row>
    <row r="49" spans="1:16" x14ac:dyDescent="0.25">
      <c r="A49">
        <v>100048</v>
      </c>
      <c r="B49" s="1">
        <v>46039</v>
      </c>
      <c r="C49" t="s">
        <v>35</v>
      </c>
      <c r="D49" t="s">
        <v>36</v>
      </c>
      <c r="E49" t="s">
        <v>43</v>
      </c>
      <c r="F49" t="s">
        <v>27</v>
      </c>
      <c r="G49" t="s">
        <v>38</v>
      </c>
      <c r="H49" t="s">
        <v>100</v>
      </c>
      <c r="I49" t="s">
        <v>22</v>
      </c>
      <c r="J49">
        <v>2</v>
      </c>
      <c r="K49">
        <v>26000</v>
      </c>
      <c r="L49">
        <v>0.05</v>
      </c>
      <c r="M49">
        <v>49400</v>
      </c>
      <c r="N49">
        <v>15000</v>
      </c>
      <c r="O49" t="s">
        <v>23</v>
      </c>
      <c r="P49" t="s">
        <v>40</v>
      </c>
    </row>
    <row r="50" spans="1:16" x14ac:dyDescent="0.25">
      <c r="A50">
        <v>100049</v>
      </c>
      <c r="B50" s="1">
        <v>46182</v>
      </c>
      <c r="C50" t="s">
        <v>50</v>
      </c>
      <c r="D50" t="s">
        <v>51</v>
      </c>
      <c r="E50" t="s">
        <v>43</v>
      </c>
      <c r="F50" t="s">
        <v>44</v>
      </c>
      <c r="G50" t="s">
        <v>45</v>
      </c>
      <c r="H50" t="s">
        <v>85</v>
      </c>
      <c r="I50" t="s">
        <v>22</v>
      </c>
      <c r="J50">
        <v>5</v>
      </c>
      <c r="K50">
        <v>6500</v>
      </c>
      <c r="L50">
        <v>0.05</v>
      </c>
      <c r="M50">
        <v>30875</v>
      </c>
      <c r="N50">
        <v>2200</v>
      </c>
      <c r="O50" t="s">
        <v>23</v>
      </c>
      <c r="P50" t="s">
        <v>84</v>
      </c>
    </row>
    <row r="51" spans="1:16" x14ac:dyDescent="0.25">
      <c r="A51">
        <v>100050</v>
      </c>
      <c r="B51" s="1">
        <v>46056</v>
      </c>
      <c r="C51" t="s">
        <v>35</v>
      </c>
      <c r="D51" t="s">
        <v>36</v>
      </c>
      <c r="E51" t="s">
        <v>43</v>
      </c>
      <c r="F51" t="s">
        <v>44</v>
      </c>
      <c r="G51" t="s">
        <v>60</v>
      </c>
      <c r="H51" t="s">
        <v>101</v>
      </c>
      <c r="I51" t="s">
        <v>30</v>
      </c>
      <c r="J51">
        <v>3</v>
      </c>
      <c r="K51">
        <v>9000</v>
      </c>
      <c r="L51">
        <v>0</v>
      </c>
      <c r="M51">
        <v>27000</v>
      </c>
      <c r="N51">
        <v>3500</v>
      </c>
      <c r="O51" t="s">
        <v>23</v>
      </c>
      <c r="P51" t="s">
        <v>24</v>
      </c>
    </row>
    <row r="52" spans="1:16" x14ac:dyDescent="0.25">
      <c r="A52">
        <v>100051</v>
      </c>
      <c r="B52" s="1">
        <v>46035</v>
      </c>
      <c r="C52" t="s">
        <v>16</v>
      </c>
      <c r="D52" t="s">
        <v>17</v>
      </c>
      <c r="E52" t="s">
        <v>37</v>
      </c>
      <c r="F52" t="s">
        <v>19</v>
      </c>
      <c r="G52" t="s">
        <v>52</v>
      </c>
      <c r="H52" t="s">
        <v>53</v>
      </c>
      <c r="I52" t="s">
        <v>22</v>
      </c>
      <c r="J52">
        <v>2</v>
      </c>
      <c r="K52">
        <v>42000</v>
      </c>
      <c r="L52">
        <v>0.1</v>
      </c>
      <c r="M52">
        <v>75600</v>
      </c>
      <c r="O52" t="s">
        <v>23</v>
      </c>
      <c r="P52" t="s">
        <v>24</v>
      </c>
    </row>
    <row r="53" spans="1:16" x14ac:dyDescent="0.25">
      <c r="A53">
        <v>100052</v>
      </c>
      <c r="B53" s="1">
        <v>46033</v>
      </c>
      <c r="C53" t="s">
        <v>55</v>
      </c>
      <c r="D53" t="s">
        <v>56</v>
      </c>
      <c r="E53" t="s">
        <v>18</v>
      </c>
      <c r="F53" t="s">
        <v>27</v>
      </c>
      <c r="G53" t="s">
        <v>28</v>
      </c>
      <c r="H53" t="s">
        <v>102</v>
      </c>
      <c r="I53" t="s">
        <v>30</v>
      </c>
      <c r="J53">
        <v>4</v>
      </c>
      <c r="K53">
        <v>165000</v>
      </c>
      <c r="L53">
        <v>0</v>
      </c>
      <c r="M53">
        <v>660000</v>
      </c>
      <c r="N53">
        <v>112000</v>
      </c>
      <c r="O53" t="s">
        <v>23</v>
      </c>
      <c r="P53" t="s">
        <v>24</v>
      </c>
    </row>
    <row r="54" spans="1:16" x14ac:dyDescent="0.25">
      <c r="A54">
        <v>100053</v>
      </c>
      <c r="B54" s="1">
        <v>46180</v>
      </c>
      <c r="C54" t="s">
        <v>35</v>
      </c>
      <c r="D54" t="s">
        <v>36</v>
      </c>
      <c r="E54" t="s">
        <v>43</v>
      </c>
      <c r="F54" t="s">
        <v>44</v>
      </c>
      <c r="G54" t="s">
        <v>45</v>
      </c>
      <c r="H54" t="s">
        <v>103</v>
      </c>
      <c r="I54" t="s">
        <v>30</v>
      </c>
      <c r="J54">
        <v>4</v>
      </c>
      <c r="K54">
        <v>6500</v>
      </c>
      <c r="L54">
        <v>0</v>
      </c>
      <c r="M54">
        <v>26000</v>
      </c>
      <c r="N54">
        <v>2200</v>
      </c>
      <c r="O54" t="s">
        <v>23</v>
      </c>
      <c r="P54" t="s">
        <v>64</v>
      </c>
    </row>
    <row r="55" spans="1:16" x14ac:dyDescent="0.25">
      <c r="A55">
        <v>100054</v>
      </c>
      <c r="B55" s="1">
        <v>46140</v>
      </c>
      <c r="C55" t="s">
        <v>32</v>
      </c>
      <c r="D55" t="s">
        <v>17</v>
      </c>
      <c r="E55" t="s">
        <v>43</v>
      </c>
      <c r="F55" t="s">
        <v>44</v>
      </c>
      <c r="G55" t="s">
        <v>60</v>
      </c>
      <c r="H55" t="s">
        <v>104</v>
      </c>
      <c r="I55" t="s">
        <v>30</v>
      </c>
      <c r="J55">
        <v>1</v>
      </c>
      <c r="K55">
        <v>9000</v>
      </c>
      <c r="L55">
        <v>0.1</v>
      </c>
      <c r="M55">
        <v>8100</v>
      </c>
      <c r="N55">
        <v>3500</v>
      </c>
      <c r="O55" t="s">
        <v>23</v>
      </c>
      <c r="P55" t="s">
        <v>84</v>
      </c>
    </row>
    <row r="56" spans="1:16" x14ac:dyDescent="0.25">
      <c r="A56">
        <v>100055</v>
      </c>
      <c r="B56" s="1">
        <v>46178</v>
      </c>
      <c r="C56" t="s">
        <v>35</v>
      </c>
      <c r="D56" t="s">
        <v>36</v>
      </c>
      <c r="E56" t="s">
        <v>43</v>
      </c>
      <c r="F56" t="s">
        <v>27</v>
      </c>
      <c r="G56" t="s">
        <v>38</v>
      </c>
      <c r="H56" t="s">
        <v>105</v>
      </c>
      <c r="I56" t="s">
        <v>22</v>
      </c>
      <c r="J56">
        <v>2</v>
      </c>
      <c r="K56">
        <v>26000</v>
      </c>
      <c r="L56">
        <v>0.15</v>
      </c>
      <c r="M56">
        <v>44200</v>
      </c>
      <c r="N56">
        <v>15000</v>
      </c>
      <c r="O56" t="s">
        <v>23</v>
      </c>
      <c r="P56" t="s">
        <v>47</v>
      </c>
    </row>
    <row r="57" spans="1:16" x14ac:dyDescent="0.25">
      <c r="A57">
        <v>100056</v>
      </c>
      <c r="B57" s="1">
        <v>46191</v>
      </c>
      <c r="C57" t="s">
        <v>35</v>
      </c>
      <c r="D57" t="s">
        <v>36</v>
      </c>
      <c r="E57" t="s">
        <v>43</v>
      </c>
      <c r="F57" t="s">
        <v>44</v>
      </c>
      <c r="G57" t="s">
        <v>60</v>
      </c>
      <c r="H57" t="s">
        <v>106</v>
      </c>
      <c r="I57" t="s">
        <v>22</v>
      </c>
      <c r="J57">
        <v>1</v>
      </c>
      <c r="K57">
        <v>9000</v>
      </c>
      <c r="L57">
        <v>0.05</v>
      </c>
      <c r="M57">
        <v>6840</v>
      </c>
      <c r="N57">
        <v>3500</v>
      </c>
      <c r="O57" t="s">
        <v>23</v>
      </c>
      <c r="P57" t="s">
        <v>47</v>
      </c>
    </row>
    <row r="58" spans="1:16" x14ac:dyDescent="0.25">
      <c r="A58">
        <v>100057</v>
      </c>
      <c r="B58" s="1">
        <v>46196</v>
      </c>
      <c r="C58" t="s">
        <v>50</v>
      </c>
      <c r="D58" t="s">
        <v>51</v>
      </c>
      <c r="E58" t="s">
        <v>37</v>
      </c>
      <c r="F58" t="s">
        <v>27</v>
      </c>
      <c r="G58" t="s">
        <v>38</v>
      </c>
      <c r="H58" t="s">
        <v>107</v>
      </c>
      <c r="I58" t="s">
        <v>22</v>
      </c>
      <c r="J58">
        <v>1</v>
      </c>
      <c r="K58">
        <v>26000</v>
      </c>
      <c r="L58">
        <v>0.15</v>
      </c>
      <c r="M58">
        <v>22100</v>
      </c>
      <c r="N58">
        <v>15000</v>
      </c>
      <c r="O58" t="s">
        <v>23</v>
      </c>
      <c r="P58" t="s">
        <v>54</v>
      </c>
    </row>
    <row r="59" spans="1:16" x14ac:dyDescent="0.25">
      <c r="A59">
        <v>100058</v>
      </c>
      <c r="B59" s="1">
        <v>46140</v>
      </c>
      <c r="C59" t="s">
        <v>35</v>
      </c>
      <c r="D59" t="s">
        <v>36</v>
      </c>
      <c r="E59" t="s">
        <v>43</v>
      </c>
      <c r="F59" t="s">
        <v>44</v>
      </c>
      <c r="G59" t="s">
        <v>65</v>
      </c>
      <c r="H59" t="s">
        <v>108</v>
      </c>
      <c r="I59" t="s">
        <v>30</v>
      </c>
      <c r="J59">
        <v>2</v>
      </c>
      <c r="K59">
        <v>28000</v>
      </c>
      <c r="L59">
        <v>0</v>
      </c>
      <c r="M59">
        <v>56000</v>
      </c>
      <c r="N59">
        <v>16000</v>
      </c>
      <c r="O59" t="s">
        <v>23</v>
      </c>
      <c r="P59" t="s">
        <v>84</v>
      </c>
    </row>
    <row r="60" spans="1:16" x14ac:dyDescent="0.25">
      <c r="A60">
        <v>100059</v>
      </c>
      <c r="B60" s="1">
        <v>46039</v>
      </c>
      <c r="C60" t="s">
        <v>42</v>
      </c>
      <c r="D60" t="s">
        <v>26</v>
      </c>
      <c r="E60" t="s">
        <v>37</v>
      </c>
      <c r="F60" t="s">
        <v>19</v>
      </c>
      <c r="G60" t="s">
        <v>52</v>
      </c>
      <c r="H60" t="s">
        <v>109</v>
      </c>
      <c r="I60" t="s">
        <v>30</v>
      </c>
      <c r="J60">
        <v>2</v>
      </c>
      <c r="K60">
        <v>42000</v>
      </c>
      <c r="L60">
        <v>0.1</v>
      </c>
      <c r="M60">
        <v>75600</v>
      </c>
      <c r="N60">
        <v>28000</v>
      </c>
      <c r="O60" t="s">
        <v>23</v>
      </c>
      <c r="P60" t="s">
        <v>84</v>
      </c>
    </row>
    <row r="61" spans="1:16" x14ac:dyDescent="0.25">
      <c r="A61">
        <v>100060</v>
      </c>
      <c r="B61" s="1">
        <v>46046</v>
      </c>
      <c r="C61" t="s">
        <v>50</v>
      </c>
      <c r="D61" t="s">
        <v>51</v>
      </c>
      <c r="E61" t="s">
        <v>37</v>
      </c>
      <c r="F61" t="s">
        <v>27</v>
      </c>
      <c r="G61" t="s">
        <v>33</v>
      </c>
      <c r="H61" t="s">
        <v>110</v>
      </c>
      <c r="I61" t="s">
        <v>30</v>
      </c>
      <c r="J61">
        <v>1</v>
      </c>
      <c r="K61">
        <v>32000</v>
      </c>
      <c r="L61">
        <v>0.1</v>
      </c>
      <c r="M61">
        <v>28800</v>
      </c>
      <c r="N61">
        <v>19000</v>
      </c>
      <c r="O61" t="s">
        <v>23</v>
      </c>
      <c r="P61" t="s">
        <v>47</v>
      </c>
    </row>
    <row r="62" spans="1:16" x14ac:dyDescent="0.25">
      <c r="A62">
        <v>100061</v>
      </c>
      <c r="B62" s="1">
        <v>46251</v>
      </c>
      <c r="C62" t="s">
        <v>42</v>
      </c>
      <c r="D62" t="s">
        <v>26</v>
      </c>
      <c r="E62" t="s">
        <v>43</v>
      </c>
      <c r="F62" t="s">
        <v>27</v>
      </c>
      <c r="G62" t="s">
        <v>33</v>
      </c>
      <c r="H62" t="s">
        <v>111</v>
      </c>
      <c r="I62" t="s">
        <v>30</v>
      </c>
      <c r="J62">
        <v>1</v>
      </c>
      <c r="K62">
        <v>32000</v>
      </c>
      <c r="L62">
        <v>0.15</v>
      </c>
      <c r="M62">
        <v>27200</v>
      </c>
      <c r="N62">
        <v>19000</v>
      </c>
      <c r="O62" t="s">
        <v>23</v>
      </c>
      <c r="P62" t="s">
        <v>84</v>
      </c>
    </row>
    <row r="63" spans="1:16" x14ac:dyDescent="0.25">
      <c r="A63">
        <v>100062</v>
      </c>
      <c r="B63" s="1">
        <v>46161</v>
      </c>
      <c r="C63" t="s">
        <v>55</v>
      </c>
      <c r="D63" t="s">
        <v>56</v>
      </c>
      <c r="E63" t="s">
        <v>37</v>
      </c>
      <c r="F63" t="s">
        <v>27</v>
      </c>
      <c r="G63" t="s">
        <v>28</v>
      </c>
      <c r="H63" t="s">
        <v>112</v>
      </c>
      <c r="I63" t="s">
        <v>22</v>
      </c>
      <c r="J63">
        <v>3</v>
      </c>
      <c r="K63">
        <v>165000</v>
      </c>
      <c r="L63">
        <v>0</v>
      </c>
      <c r="M63">
        <v>495000</v>
      </c>
      <c r="N63">
        <v>112000</v>
      </c>
      <c r="O63" t="s">
        <v>23</v>
      </c>
      <c r="P63" t="s">
        <v>84</v>
      </c>
    </row>
    <row r="64" spans="1:16" x14ac:dyDescent="0.25">
      <c r="A64">
        <v>100063</v>
      </c>
      <c r="B64" s="1">
        <v>46114</v>
      </c>
      <c r="C64" t="s">
        <v>42</v>
      </c>
      <c r="D64" t="s">
        <v>26</v>
      </c>
      <c r="E64" t="s">
        <v>43</v>
      </c>
      <c r="F64" t="s">
        <v>19</v>
      </c>
      <c r="G64" t="s">
        <v>20</v>
      </c>
      <c r="H64" t="s">
        <v>77</v>
      </c>
      <c r="I64" t="s">
        <v>22</v>
      </c>
      <c r="J64">
        <v>1</v>
      </c>
      <c r="K64">
        <v>58000</v>
      </c>
      <c r="L64">
        <v>0</v>
      </c>
      <c r="M64">
        <v>58000</v>
      </c>
      <c r="N64">
        <v>39000</v>
      </c>
      <c r="O64" t="s">
        <v>23</v>
      </c>
      <c r="P64" t="s">
        <v>54</v>
      </c>
    </row>
    <row r="65" spans="1:16" x14ac:dyDescent="0.25">
      <c r="A65">
        <v>100064</v>
      </c>
      <c r="B65" s="1">
        <v>46224</v>
      </c>
      <c r="C65" t="s">
        <v>25</v>
      </c>
      <c r="D65" t="s">
        <v>26</v>
      </c>
      <c r="E65" t="s">
        <v>18</v>
      </c>
      <c r="F65" t="s">
        <v>19</v>
      </c>
      <c r="G65" t="s">
        <v>62</v>
      </c>
      <c r="H65" t="s">
        <v>99</v>
      </c>
      <c r="I65" t="s">
        <v>22</v>
      </c>
      <c r="J65">
        <v>1</v>
      </c>
      <c r="K65">
        <v>24000</v>
      </c>
      <c r="L65">
        <v>0.05</v>
      </c>
      <c r="M65">
        <v>22800</v>
      </c>
      <c r="N65">
        <v>15000</v>
      </c>
      <c r="O65" t="s">
        <v>23</v>
      </c>
      <c r="P65" t="s">
        <v>31</v>
      </c>
    </row>
    <row r="66" spans="1:16" x14ac:dyDescent="0.25">
      <c r="A66">
        <v>100065</v>
      </c>
      <c r="B66" s="1">
        <v>46172</v>
      </c>
      <c r="C66" t="s">
        <v>55</v>
      </c>
      <c r="D66" t="s">
        <v>56</v>
      </c>
      <c r="E66" t="s">
        <v>43</v>
      </c>
      <c r="F66" t="s">
        <v>27</v>
      </c>
      <c r="G66" t="s">
        <v>28</v>
      </c>
      <c r="H66" t="s">
        <v>113</v>
      </c>
      <c r="I66" t="s">
        <v>30</v>
      </c>
      <c r="J66">
        <v>4</v>
      </c>
      <c r="K66">
        <v>165000</v>
      </c>
      <c r="L66">
        <v>0.1</v>
      </c>
      <c r="M66">
        <v>594000</v>
      </c>
      <c r="N66">
        <v>112000</v>
      </c>
      <c r="O66" t="s">
        <v>23</v>
      </c>
      <c r="P66" t="s">
        <v>58</v>
      </c>
    </row>
    <row r="67" spans="1:16" x14ac:dyDescent="0.25">
      <c r="A67">
        <v>100066</v>
      </c>
      <c r="B67" s="1">
        <v>46107</v>
      </c>
      <c r="C67" t="s">
        <v>50</v>
      </c>
      <c r="D67" t="s">
        <v>51</v>
      </c>
      <c r="E67" t="s">
        <v>37</v>
      </c>
      <c r="F67" t="s">
        <v>19</v>
      </c>
      <c r="G67" t="s">
        <v>52</v>
      </c>
      <c r="H67" t="s">
        <v>114</v>
      </c>
      <c r="I67" t="s">
        <v>30</v>
      </c>
      <c r="J67">
        <v>3</v>
      </c>
      <c r="K67">
        <v>42000</v>
      </c>
      <c r="L67">
        <v>0.1</v>
      </c>
      <c r="M67">
        <v>113400</v>
      </c>
      <c r="N67">
        <v>28000</v>
      </c>
      <c r="O67" t="s">
        <v>23</v>
      </c>
      <c r="P67" t="s">
        <v>31</v>
      </c>
    </row>
    <row r="68" spans="1:16" x14ac:dyDescent="0.25">
      <c r="A68">
        <v>100067</v>
      </c>
      <c r="B68" s="1">
        <v>46210</v>
      </c>
      <c r="C68" t="s">
        <v>16</v>
      </c>
      <c r="D68" t="s">
        <v>17</v>
      </c>
      <c r="E68" t="s">
        <v>18</v>
      </c>
      <c r="F68" t="s">
        <v>44</v>
      </c>
      <c r="G68" t="s">
        <v>65</v>
      </c>
      <c r="H68" t="s">
        <v>115</v>
      </c>
      <c r="I68" t="s">
        <v>22</v>
      </c>
      <c r="J68">
        <v>3</v>
      </c>
      <c r="K68">
        <v>28000</v>
      </c>
      <c r="L68">
        <v>0.15</v>
      </c>
      <c r="M68">
        <v>57120</v>
      </c>
      <c r="N68">
        <v>16000</v>
      </c>
      <c r="O68" t="s">
        <v>23</v>
      </c>
      <c r="P68" t="s">
        <v>58</v>
      </c>
    </row>
    <row r="69" spans="1:16" x14ac:dyDescent="0.25">
      <c r="A69">
        <v>100068</v>
      </c>
      <c r="B69" s="1">
        <v>46111</v>
      </c>
      <c r="C69" t="s">
        <v>16</v>
      </c>
      <c r="D69" t="s">
        <v>17</v>
      </c>
      <c r="E69" t="s">
        <v>37</v>
      </c>
      <c r="F69" t="s">
        <v>44</v>
      </c>
      <c r="G69" t="s">
        <v>65</v>
      </c>
      <c r="H69" t="s">
        <v>116</v>
      </c>
      <c r="I69" t="s">
        <v>22</v>
      </c>
      <c r="J69">
        <v>4</v>
      </c>
      <c r="K69">
        <v>28000</v>
      </c>
      <c r="L69">
        <v>0.05</v>
      </c>
      <c r="M69">
        <v>106400</v>
      </c>
      <c r="N69">
        <v>16000</v>
      </c>
      <c r="O69" t="s">
        <v>23</v>
      </c>
      <c r="P69" t="s">
        <v>58</v>
      </c>
    </row>
    <row r="70" spans="1:16" x14ac:dyDescent="0.25">
      <c r="A70">
        <v>100069</v>
      </c>
      <c r="B70" s="1">
        <v>46092</v>
      </c>
      <c r="C70" t="s">
        <v>55</v>
      </c>
      <c r="D70" t="s">
        <v>56</v>
      </c>
      <c r="E70" t="s">
        <v>43</v>
      </c>
      <c r="F70" t="s">
        <v>27</v>
      </c>
      <c r="G70" t="s">
        <v>28</v>
      </c>
      <c r="H70" t="s">
        <v>117</v>
      </c>
      <c r="I70" t="s">
        <v>22</v>
      </c>
      <c r="J70">
        <v>3</v>
      </c>
      <c r="K70">
        <v>165000</v>
      </c>
      <c r="L70">
        <v>0.05</v>
      </c>
      <c r="M70">
        <v>470250</v>
      </c>
      <c r="N70">
        <v>112000</v>
      </c>
      <c r="O70" t="s">
        <v>23</v>
      </c>
      <c r="P70" t="s">
        <v>47</v>
      </c>
    </row>
    <row r="71" spans="1:16" x14ac:dyDescent="0.25">
      <c r="A71">
        <v>100070</v>
      </c>
      <c r="B71" s="1">
        <v>46147</v>
      </c>
      <c r="C71" t="s">
        <v>55</v>
      </c>
      <c r="D71" t="s">
        <v>56</v>
      </c>
      <c r="E71" t="s">
        <v>43</v>
      </c>
      <c r="F71" t="s">
        <v>19</v>
      </c>
      <c r="G71" t="s">
        <v>20</v>
      </c>
      <c r="H71" t="s">
        <v>118</v>
      </c>
      <c r="I71" t="s">
        <v>22</v>
      </c>
      <c r="J71">
        <v>3</v>
      </c>
      <c r="K71">
        <v>58000</v>
      </c>
      <c r="L71">
        <v>0</v>
      </c>
      <c r="M71">
        <v>174000</v>
      </c>
      <c r="O71" t="s">
        <v>23</v>
      </c>
      <c r="P71" t="s">
        <v>64</v>
      </c>
    </row>
    <row r="72" spans="1:16" x14ac:dyDescent="0.25">
      <c r="A72">
        <v>100071</v>
      </c>
      <c r="B72" s="1">
        <v>46028</v>
      </c>
      <c r="C72" t="s">
        <v>42</v>
      </c>
      <c r="D72" t="s">
        <v>26</v>
      </c>
      <c r="E72" t="s">
        <v>37</v>
      </c>
      <c r="F72" t="s">
        <v>27</v>
      </c>
      <c r="G72" t="s">
        <v>38</v>
      </c>
      <c r="H72" t="s">
        <v>119</v>
      </c>
      <c r="I72" t="s">
        <v>30</v>
      </c>
      <c r="J72">
        <v>4</v>
      </c>
      <c r="K72">
        <v>26000</v>
      </c>
      <c r="L72">
        <v>0.1</v>
      </c>
      <c r="M72">
        <v>93600</v>
      </c>
      <c r="N72">
        <v>15000</v>
      </c>
      <c r="O72" t="s">
        <v>23</v>
      </c>
      <c r="P72" t="s">
        <v>24</v>
      </c>
    </row>
    <row r="73" spans="1:16" x14ac:dyDescent="0.25">
      <c r="A73">
        <v>100072</v>
      </c>
      <c r="B73" s="1">
        <v>46182</v>
      </c>
      <c r="C73" t="s">
        <v>50</v>
      </c>
      <c r="D73" t="s">
        <v>51</v>
      </c>
      <c r="E73" t="s">
        <v>43</v>
      </c>
      <c r="F73" t="s">
        <v>19</v>
      </c>
      <c r="G73" t="s">
        <v>20</v>
      </c>
      <c r="H73" t="s">
        <v>120</v>
      </c>
      <c r="I73" t="s">
        <v>22</v>
      </c>
      <c r="J73">
        <v>3</v>
      </c>
      <c r="K73">
        <v>58000</v>
      </c>
      <c r="L73">
        <v>0.1</v>
      </c>
      <c r="M73">
        <v>125280</v>
      </c>
      <c r="N73">
        <v>39000</v>
      </c>
      <c r="O73" t="s">
        <v>23</v>
      </c>
      <c r="P73" t="s">
        <v>40</v>
      </c>
    </row>
    <row r="74" spans="1:16" x14ac:dyDescent="0.25">
      <c r="A74">
        <v>100073</v>
      </c>
      <c r="B74" s="1">
        <v>46086</v>
      </c>
      <c r="C74" t="s">
        <v>32</v>
      </c>
      <c r="D74" t="s">
        <v>17</v>
      </c>
      <c r="E74" t="s">
        <v>37</v>
      </c>
      <c r="F74" t="s">
        <v>27</v>
      </c>
      <c r="G74" t="s">
        <v>38</v>
      </c>
      <c r="H74" t="s">
        <v>121</v>
      </c>
      <c r="I74" t="s">
        <v>30</v>
      </c>
      <c r="J74">
        <v>1</v>
      </c>
      <c r="K74">
        <v>26000</v>
      </c>
      <c r="L74">
        <v>0.1</v>
      </c>
      <c r="M74">
        <v>23400</v>
      </c>
      <c r="N74">
        <v>15000</v>
      </c>
      <c r="O74" t="s">
        <v>76</v>
      </c>
      <c r="P74" t="s">
        <v>47</v>
      </c>
    </row>
    <row r="75" spans="1:16" x14ac:dyDescent="0.25">
      <c r="A75">
        <v>100074</v>
      </c>
      <c r="B75" s="1">
        <v>46132</v>
      </c>
      <c r="C75" t="s">
        <v>50</v>
      </c>
      <c r="D75" t="s">
        <v>51</v>
      </c>
      <c r="E75" t="s">
        <v>43</v>
      </c>
      <c r="F75" t="s">
        <v>44</v>
      </c>
      <c r="G75" t="s">
        <v>45</v>
      </c>
      <c r="H75" t="s">
        <v>122</v>
      </c>
      <c r="I75" t="s">
        <v>22</v>
      </c>
      <c r="J75">
        <v>4</v>
      </c>
      <c r="K75">
        <v>6500</v>
      </c>
      <c r="L75">
        <v>0.05</v>
      </c>
      <c r="M75">
        <v>24700</v>
      </c>
      <c r="N75">
        <v>2200</v>
      </c>
      <c r="O75" t="s">
        <v>23</v>
      </c>
      <c r="P75" t="s">
        <v>24</v>
      </c>
    </row>
    <row r="76" spans="1:16" x14ac:dyDescent="0.25">
      <c r="A76">
        <v>100075</v>
      </c>
      <c r="B76" s="1">
        <v>46256</v>
      </c>
      <c r="C76" t="s">
        <v>25</v>
      </c>
      <c r="D76" t="s">
        <v>26</v>
      </c>
      <c r="E76" t="s">
        <v>43</v>
      </c>
      <c r="F76" t="s">
        <v>27</v>
      </c>
      <c r="G76" t="s">
        <v>28</v>
      </c>
      <c r="H76" t="s">
        <v>123</v>
      </c>
      <c r="I76" t="s">
        <v>30</v>
      </c>
      <c r="J76">
        <v>1</v>
      </c>
      <c r="K76">
        <v>165000</v>
      </c>
      <c r="L76">
        <v>0.05</v>
      </c>
      <c r="M76">
        <v>156750</v>
      </c>
      <c r="N76">
        <v>112000</v>
      </c>
      <c r="O76" t="s">
        <v>23</v>
      </c>
      <c r="P76" t="s">
        <v>54</v>
      </c>
    </row>
    <row r="77" spans="1:16" x14ac:dyDescent="0.25">
      <c r="A77">
        <v>100076</v>
      </c>
      <c r="B77" s="1">
        <v>46064</v>
      </c>
      <c r="C77" t="s">
        <v>25</v>
      </c>
      <c r="D77" t="s">
        <v>26</v>
      </c>
      <c r="E77" t="s">
        <v>43</v>
      </c>
      <c r="F77" t="s">
        <v>27</v>
      </c>
      <c r="G77" t="s">
        <v>38</v>
      </c>
      <c r="H77" t="s">
        <v>124</v>
      </c>
      <c r="I77" t="s">
        <v>22</v>
      </c>
      <c r="J77">
        <v>4</v>
      </c>
      <c r="K77">
        <v>26000</v>
      </c>
      <c r="L77">
        <v>0</v>
      </c>
      <c r="M77">
        <v>104000</v>
      </c>
      <c r="N77">
        <v>15000</v>
      </c>
      <c r="O77" t="s">
        <v>23</v>
      </c>
      <c r="P77" t="s">
        <v>84</v>
      </c>
    </row>
    <row r="78" spans="1:16" x14ac:dyDescent="0.25">
      <c r="A78">
        <v>100077</v>
      </c>
      <c r="B78" s="1">
        <v>46156</v>
      </c>
      <c r="C78" t="s">
        <v>42</v>
      </c>
      <c r="D78" t="s">
        <v>26</v>
      </c>
      <c r="E78" t="s">
        <v>43</v>
      </c>
      <c r="F78" t="s">
        <v>44</v>
      </c>
      <c r="G78" t="s">
        <v>60</v>
      </c>
      <c r="H78" t="s">
        <v>63</v>
      </c>
      <c r="I78" t="s">
        <v>22</v>
      </c>
      <c r="J78">
        <v>2</v>
      </c>
      <c r="K78">
        <v>9000</v>
      </c>
      <c r="L78">
        <v>0.15</v>
      </c>
      <c r="M78">
        <v>15300</v>
      </c>
      <c r="N78">
        <v>3500</v>
      </c>
      <c r="O78" t="s">
        <v>23</v>
      </c>
      <c r="P78" t="s">
        <v>24</v>
      </c>
    </row>
    <row r="79" spans="1:16" x14ac:dyDescent="0.25">
      <c r="A79">
        <v>100078</v>
      </c>
      <c r="B79" s="1">
        <v>46209</v>
      </c>
      <c r="C79" t="s">
        <v>25</v>
      </c>
      <c r="D79" t="s">
        <v>26</v>
      </c>
      <c r="E79" t="s">
        <v>43</v>
      </c>
      <c r="F79" t="s">
        <v>44</v>
      </c>
      <c r="G79" t="s">
        <v>45</v>
      </c>
      <c r="H79" t="s">
        <v>125</v>
      </c>
      <c r="I79" t="s">
        <v>30</v>
      </c>
      <c r="J79">
        <v>2</v>
      </c>
      <c r="K79">
        <v>6500</v>
      </c>
      <c r="L79">
        <v>0.1</v>
      </c>
      <c r="M79">
        <v>11700</v>
      </c>
      <c r="N79">
        <v>2200</v>
      </c>
      <c r="O79" t="s">
        <v>23</v>
      </c>
      <c r="P79" t="s">
        <v>31</v>
      </c>
    </row>
    <row r="80" spans="1:16" x14ac:dyDescent="0.25">
      <c r="A80">
        <v>100079</v>
      </c>
      <c r="B80" s="1">
        <v>46058</v>
      </c>
      <c r="C80" t="s">
        <v>42</v>
      </c>
      <c r="D80" t="s">
        <v>26</v>
      </c>
      <c r="E80" t="s">
        <v>43</v>
      </c>
      <c r="F80" t="s">
        <v>19</v>
      </c>
      <c r="G80" t="s">
        <v>20</v>
      </c>
      <c r="H80" t="s">
        <v>126</v>
      </c>
      <c r="I80" t="s">
        <v>30</v>
      </c>
      <c r="J80">
        <v>2</v>
      </c>
      <c r="K80">
        <v>58000</v>
      </c>
      <c r="L80">
        <v>0.1</v>
      </c>
      <c r="M80">
        <v>104400</v>
      </c>
      <c r="N80">
        <v>39000</v>
      </c>
      <c r="O80" t="s">
        <v>23</v>
      </c>
      <c r="P80" t="s">
        <v>84</v>
      </c>
    </row>
    <row r="81" spans="1:16" x14ac:dyDescent="0.25">
      <c r="A81">
        <v>100080</v>
      </c>
      <c r="B81" s="1">
        <v>46255</v>
      </c>
      <c r="C81" t="s">
        <v>50</v>
      </c>
      <c r="D81" t="s">
        <v>51</v>
      </c>
      <c r="E81" t="s">
        <v>37</v>
      </c>
      <c r="F81" t="s">
        <v>44</v>
      </c>
      <c r="G81" t="s">
        <v>65</v>
      </c>
      <c r="H81" t="s">
        <v>127</v>
      </c>
      <c r="I81" t="s">
        <v>30</v>
      </c>
      <c r="J81">
        <v>2</v>
      </c>
      <c r="K81">
        <v>28000</v>
      </c>
      <c r="L81">
        <v>0.1</v>
      </c>
      <c r="M81">
        <v>50400</v>
      </c>
      <c r="N81">
        <v>16000</v>
      </c>
      <c r="O81" t="s">
        <v>23</v>
      </c>
      <c r="P81" t="s">
        <v>31</v>
      </c>
    </row>
    <row r="82" spans="1:16" x14ac:dyDescent="0.25">
      <c r="A82">
        <v>100081</v>
      </c>
      <c r="B82" s="1">
        <v>46151</v>
      </c>
      <c r="C82" t="s">
        <v>42</v>
      </c>
      <c r="D82" t="s">
        <v>26</v>
      </c>
      <c r="E82" t="s">
        <v>37</v>
      </c>
      <c r="F82" t="s">
        <v>27</v>
      </c>
      <c r="G82" t="s">
        <v>33</v>
      </c>
      <c r="H82" t="s">
        <v>128</v>
      </c>
      <c r="I82" t="s">
        <v>22</v>
      </c>
      <c r="J82">
        <v>2</v>
      </c>
      <c r="K82">
        <v>32000</v>
      </c>
      <c r="L82">
        <v>0</v>
      </c>
      <c r="M82">
        <v>64000</v>
      </c>
      <c r="N82">
        <v>19000</v>
      </c>
      <c r="O82" t="s">
        <v>23</v>
      </c>
      <c r="P82" t="s">
        <v>84</v>
      </c>
    </row>
    <row r="83" spans="1:16" x14ac:dyDescent="0.25">
      <c r="A83">
        <v>100082</v>
      </c>
      <c r="B83" s="1">
        <v>46149</v>
      </c>
      <c r="C83" t="s">
        <v>32</v>
      </c>
      <c r="D83" t="s">
        <v>17</v>
      </c>
      <c r="E83" t="s">
        <v>37</v>
      </c>
      <c r="F83" t="s">
        <v>27</v>
      </c>
      <c r="G83" t="s">
        <v>28</v>
      </c>
      <c r="H83" t="s">
        <v>86</v>
      </c>
      <c r="I83" t="s">
        <v>22</v>
      </c>
      <c r="J83">
        <v>2</v>
      </c>
      <c r="K83">
        <v>165000</v>
      </c>
      <c r="L83">
        <v>0.1</v>
      </c>
      <c r="M83">
        <v>297000</v>
      </c>
      <c r="O83" t="s">
        <v>23</v>
      </c>
      <c r="P83" t="s">
        <v>54</v>
      </c>
    </row>
    <row r="84" spans="1:16" x14ac:dyDescent="0.25">
      <c r="A84">
        <v>100083</v>
      </c>
      <c r="B84" s="1">
        <v>46079</v>
      </c>
      <c r="C84" t="s">
        <v>42</v>
      </c>
      <c r="D84" t="s">
        <v>26</v>
      </c>
      <c r="E84" t="s">
        <v>43</v>
      </c>
      <c r="F84" t="s">
        <v>27</v>
      </c>
      <c r="G84" t="s">
        <v>28</v>
      </c>
      <c r="H84" t="s">
        <v>129</v>
      </c>
      <c r="I84" t="s">
        <v>30</v>
      </c>
      <c r="J84">
        <v>3</v>
      </c>
      <c r="K84">
        <v>165000</v>
      </c>
      <c r="L84">
        <v>0.1</v>
      </c>
      <c r="M84">
        <v>445500</v>
      </c>
      <c r="N84">
        <v>112000</v>
      </c>
      <c r="O84" t="s">
        <v>76</v>
      </c>
      <c r="P84" t="s">
        <v>54</v>
      </c>
    </row>
    <row r="85" spans="1:16" x14ac:dyDescent="0.25">
      <c r="A85">
        <v>100084</v>
      </c>
      <c r="B85" s="1">
        <v>46226</v>
      </c>
      <c r="C85" t="s">
        <v>32</v>
      </c>
      <c r="D85" t="s">
        <v>17</v>
      </c>
      <c r="E85" t="s">
        <v>43</v>
      </c>
      <c r="F85" t="s">
        <v>27</v>
      </c>
      <c r="G85" t="s">
        <v>38</v>
      </c>
      <c r="H85" t="s">
        <v>130</v>
      </c>
      <c r="I85" t="s">
        <v>22</v>
      </c>
      <c r="J85">
        <v>4</v>
      </c>
      <c r="K85">
        <v>26000</v>
      </c>
      <c r="L85">
        <v>0</v>
      </c>
      <c r="M85">
        <v>104000</v>
      </c>
      <c r="N85">
        <v>15000</v>
      </c>
      <c r="O85" t="s">
        <v>76</v>
      </c>
      <c r="P85" t="s">
        <v>31</v>
      </c>
    </row>
    <row r="86" spans="1:16" x14ac:dyDescent="0.25">
      <c r="A86">
        <v>100085</v>
      </c>
      <c r="B86" s="1">
        <v>46227</v>
      </c>
      <c r="C86" t="s">
        <v>55</v>
      </c>
      <c r="D86" t="s">
        <v>56</v>
      </c>
      <c r="E86" t="s">
        <v>18</v>
      </c>
      <c r="F86" t="s">
        <v>27</v>
      </c>
      <c r="G86" t="s">
        <v>38</v>
      </c>
      <c r="H86" t="s">
        <v>131</v>
      </c>
      <c r="I86" t="s">
        <v>30</v>
      </c>
      <c r="J86">
        <v>3</v>
      </c>
      <c r="K86">
        <v>26000</v>
      </c>
      <c r="L86">
        <v>0</v>
      </c>
      <c r="M86">
        <v>78000</v>
      </c>
      <c r="N86">
        <v>15000</v>
      </c>
      <c r="O86" t="s">
        <v>23</v>
      </c>
      <c r="P86" t="s">
        <v>84</v>
      </c>
    </row>
    <row r="87" spans="1:16" x14ac:dyDescent="0.25">
      <c r="A87">
        <v>100086</v>
      </c>
      <c r="B87" s="1">
        <v>46068</v>
      </c>
      <c r="C87" t="s">
        <v>35</v>
      </c>
      <c r="D87" t="s">
        <v>36</v>
      </c>
      <c r="E87" t="s">
        <v>37</v>
      </c>
      <c r="F87" t="s">
        <v>27</v>
      </c>
      <c r="G87" t="s">
        <v>33</v>
      </c>
      <c r="H87" t="s">
        <v>132</v>
      </c>
      <c r="I87" t="s">
        <v>30</v>
      </c>
      <c r="J87">
        <v>4</v>
      </c>
      <c r="K87">
        <v>32000</v>
      </c>
      <c r="L87">
        <v>0.1</v>
      </c>
      <c r="M87">
        <v>115200</v>
      </c>
      <c r="N87">
        <v>19000</v>
      </c>
      <c r="O87" t="s">
        <v>23</v>
      </c>
      <c r="P87" t="s">
        <v>54</v>
      </c>
    </row>
    <row r="88" spans="1:16" x14ac:dyDescent="0.25">
      <c r="A88">
        <v>100087</v>
      </c>
      <c r="B88" s="1">
        <v>46032</v>
      </c>
      <c r="C88" t="s">
        <v>32</v>
      </c>
      <c r="D88" t="s">
        <v>17</v>
      </c>
      <c r="E88" t="s">
        <v>18</v>
      </c>
      <c r="F88" t="s">
        <v>44</v>
      </c>
      <c r="G88" t="s">
        <v>65</v>
      </c>
      <c r="H88" t="s">
        <v>133</v>
      </c>
      <c r="I88" t="s">
        <v>30</v>
      </c>
      <c r="J88">
        <v>3</v>
      </c>
      <c r="K88">
        <v>28000</v>
      </c>
      <c r="L88">
        <v>0.15</v>
      </c>
      <c r="M88">
        <v>71400</v>
      </c>
      <c r="N88">
        <v>16000</v>
      </c>
      <c r="O88" t="s">
        <v>23</v>
      </c>
      <c r="P88" t="s">
        <v>54</v>
      </c>
    </row>
    <row r="89" spans="1:16" x14ac:dyDescent="0.25">
      <c r="A89">
        <v>100088</v>
      </c>
      <c r="B89" s="1">
        <v>46191</v>
      </c>
      <c r="C89" t="s">
        <v>35</v>
      </c>
      <c r="D89" t="s">
        <v>36</v>
      </c>
      <c r="E89" t="s">
        <v>18</v>
      </c>
      <c r="F89" t="s">
        <v>27</v>
      </c>
      <c r="G89" t="s">
        <v>33</v>
      </c>
      <c r="H89" t="s">
        <v>134</v>
      </c>
      <c r="I89" t="s">
        <v>30</v>
      </c>
      <c r="J89">
        <v>5</v>
      </c>
      <c r="K89">
        <v>32000</v>
      </c>
      <c r="L89">
        <v>0.05</v>
      </c>
      <c r="M89">
        <v>152000</v>
      </c>
      <c r="N89">
        <v>19000</v>
      </c>
      <c r="O89" t="s">
        <v>76</v>
      </c>
      <c r="P89" t="s">
        <v>24</v>
      </c>
    </row>
    <row r="90" spans="1:16" x14ac:dyDescent="0.25">
      <c r="A90">
        <v>100089</v>
      </c>
      <c r="B90" s="1">
        <v>46024</v>
      </c>
      <c r="C90" t="s">
        <v>35</v>
      </c>
      <c r="D90" t="s">
        <v>36</v>
      </c>
      <c r="E90" t="s">
        <v>43</v>
      </c>
      <c r="F90" t="s">
        <v>19</v>
      </c>
      <c r="G90" t="s">
        <v>52</v>
      </c>
      <c r="H90" t="s">
        <v>86</v>
      </c>
      <c r="I90" t="s">
        <v>30</v>
      </c>
      <c r="J90">
        <v>1</v>
      </c>
      <c r="K90">
        <v>42000</v>
      </c>
      <c r="L90">
        <v>0.05</v>
      </c>
      <c r="M90">
        <v>39900</v>
      </c>
      <c r="N90">
        <v>28000</v>
      </c>
      <c r="O90" t="s">
        <v>23</v>
      </c>
      <c r="P90" t="s">
        <v>47</v>
      </c>
    </row>
    <row r="91" spans="1:16" x14ac:dyDescent="0.25">
      <c r="A91">
        <v>100090</v>
      </c>
      <c r="B91" s="1">
        <v>46085</v>
      </c>
      <c r="C91" t="s">
        <v>35</v>
      </c>
      <c r="D91" t="s">
        <v>36</v>
      </c>
      <c r="E91" t="s">
        <v>37</v>
      </c>
      <c r="F91" t="s">
        <v>19</v>
      </c>
      <c r="G91" t="s">
        <v>52</v>
      </c>
      <c r="H91" t="s">
        <v>95</v>
      </c>
      <c r="I91" t="s">
        <v>30</v>
      </c>
      <c r="J91">
        <v>4</v>
      </c>
      <c r="K91">
        <v>42000</v>
      </c>
      <c r="L91">
        <v>0.05</v>
      </c>
      <c r="M91">
        <v>159600</v>
      </c>
      <c r="N91">
        <v>28000</v>
      </c>
      <c r="O91" t="s">
        <v>23</v>
      </c>
      <c r="P91" t="s">
        <v>31</v>
      </c>
    </row>
    <row r="92" spans="1:16" x14ac:dyDescent="0.25">
      <c r="A92">
        <v>100091</v>
      </c>
      <c r="B92" s="1">
        <v>46190</v>
      </c>
      <c r="C92" t="s">
        <v>55</v>
      </c>
      <c r="D92" t="s">
        <v>56</v>
      </c>
      <c r="E92" t="s">
        <v>37</v>
      </c>
      <c r="F92" t="s">
        <v>44</v>
      </c>
      <c r="G92" t="s">
        <v>60</v>
      </c>
      <c r="H92" t="s">
        <v>135</v>
      </c>
      <c r="I92" t="s">
        <v>22</v>
      </c>
      <c r="J92">
        <v>2</v>
      </c>
      <c r="K92">
        <v>9000</v>
      </c>
      <c r="L92">
        <v>0.1</v>
      </c>
      <c r="M92">
        <v>16200</v>
      </c>
      <c r="N92">
        <v>3500</v>
      </c>
      <c r="O92" t="s">
        <v>23</v>
      </c>
      <c r="P92" t="s">
        <v>40</v>
      </c>
    </row>
    <row r="93" spans="1:16" x14ac:dyDescent="0.25">
      <c r="A93">
        <v>100092</v>
      </c>
      <c r="B93" s="1">
        <v>46153</v>
      </c>
      <c r="C93" t="s">
        <v>55</v>
      </c>
      <c r="D93" t="s">
        <v>56</v>
      </c>
      <c r="E93" t="s">
        <v>43</v>
      </c>
      <c r="F93" t="s">
        <v>19</v>
      </c>
      <c r="G93" t="s">
        <v>52</v>
      </c>
      <c r="H93" t="s">
        <v>125</v>
      </c>
      <c r="I93" t="s">
        <v>30</v>
      </c>
      <c r="J93">
        <v>4</v>
      </c>
      <c r="K93">
        <v>42000</v>
      </c>
      <c r="L93">
        <v>0.1</v>
      </c>
      <c r="M93">
        <v>166320</v>
      </c>
      <c r="N93">
        <v>28000</v>
      </c>
      <c r="O93" t="s">
        <v>23</v>
      </c>
      <c r="P93" t="s">
        <v>47</v>
      </c>
    </row>
    <row r="94" spans="1:16" x14ac:dyDescent="0.25">
      <c r="A94">
        <v>100093</v>
      </c>
      <c r="B94" s="1">
        <v>46139</v>
      </c>
      <c r="C94" t="s">
        <v>32</v>
      </c>
      <c r="D94" t="s">
        <v>17</v>
      </c>
      <c r="E94" t="s">
        <v>43</v>
      </c>
      <c r="F94" t="s">
        <v>44</v>
      </c>
      <c r="G94" t="s">
        <v>60</v>
      </c>
      <c r="H94" t="s">
        <v>136</v>
      </c>
      <c r="I94" t="s">
        <v>30</v>
      </c>
      <c r="J94">
        <v>5</v>
      </c>
      <c r="K94">
        <v>9000</v>
      </c>
      <c r="L94">
        <v>0.2</v>
      </c>
      <c r="M94">
        <v>36000</v>
      </c>
      <c r="O94" t="s">
        <v>23</v>
      </c>
      <c r="P94" t="s">
        <v>54</v>
      </c>
    </row>
    <row r="95" spans="1:16" x14ac:dyDescent="0.25">
      <c r="A95">
        <v>100094</v>
      </c>
      <c r="B95" s="1">
        <v>46223</v>
      </c>
      <c r="C95" t="s">
        <v>42</v>
      </c>
      <c r="D95" t="s">
        <v>26</v>
      </c>
      <c r="E95" t="s">
        <v>43</v>
      </c>
      <c r="F95" t="s">
        <v>19</v>
      </c>
      <c r="G95" t="s">
        <v>52</v>
      </c>
      <c r="H95" t="s">
        <v>89</v>
      </c>
      <c r="I95" t="s">
        <v>30</v>
      </c>
      <c r="J95">
        <v>4</v>
      </c>
      <c r="K95">
        <v>42000</v>
      </c>
      <c r="L95">
        <v>0.05</v>
      </c>
      <c r="M95">
        <v>127680</v>
      </c>
      <c r="N95">
        <v>28000</v>
      </c>
      <c r="O95" t="s">
        <v>23</v>
      </c>
      <c r="P95" t="s">
        <v>54</v>
      </c>
    </row>
    <row r="96" spans="1:16" x14ac:dyDescent="0.25">
      <c r="A96">
        <v>100095</v>
      </c>
      <c r="B96" s="1">
        <v>46148</v>
      </c>
      <c r="C96" t="s">
        <v>25</v>
      </c>
      <c r="D96" t="s">
        <v>26</v>
      </c>
      <c r="E96" t="s">
        <v>37</v>
      </c>
      <c r="F96" t="s">
        <v>44</v>
      </c>
      <c r="G96" t="s">
        <v>60</v>
      </c>
      <c r="H96" t="s">
        <v>137</v>
      </c>
      <c r="I96" t="s">
        <v>22</v>
      </c>
      <c r="J96">
        <v>1</v>
      </c>
      <c r="K96">
        <v>9000</v>
      </c>
      <c r="L96">
        <v>0.05</v>
      </c>
      <c r="M96">
        <v>8550</v>
      </c>
      <c r="N96">
        <v>3500</v>
      </c>
      <c r="O96" t="s">
        <v>23</v>
      </c>
      <c r="P96" t="s">
        <v>84</v>
      </c>
    </row>
    <row r="97" spans="1:16" x14ac:dyDescent="0.25">
      <c r="A97">
        <v>100096</v>
      </c>
      <c r="B97" s="1">
        <v>46049</v>
      </c>
      <c r="C97" t="s">
        <v>16</v>
      </c>
      <c r="D97" t="s">
        <v>17</v>
      </c>
      <c r="E97" t="s">
        <v>37</v>
      </c>
      <c r="F97" t="s">
        <v>27</v>
      </c>
      <c r="G97" t="s">
        <v>38</v>
      </c>
      <c r="H97" t="s">
        <v>138</v>
      </c>
      <c r="I97" t="s">
        <v>30</v>
      </c>
      <c r="J97">
        <v>3</v>
      </c>
      <c r="K97">
        <v>26000</v>
      </c>
      <c r="L97">
        <v>0</v>
      </c>
      <c r="M97">
        <v>78000</v>
      </c>
      <c r="O97" t="s">
        <v>23</v>
      </c>
      <c r="P97" t="s">
        <v>58</v>
      </c>
    </row>
    <row r="98" spans="1:16" x14ac:dyDescent="0.25">
      <c r="A98">
        <v>100097</v>
      </c>
      <c r="B98" s="1">
        <v>46122</v>
      </c>
      <c r="C98" t="s">
        <v>55</v>
      </c>
      <c r="D98" t="s">
        <v>56</v>
      </c>
      <c r="E98" t="s">
        <v>43</v>
      </c>
      <c r="F98" t="s">
        <v>27</v>
      </c>
      <c r="G98" t="s">
        <v>38</v>
      </c>
      <c r="H98" t="s">
        <v>69</v>
      </c>
      <c r="I98" t="s">
        <v>30</v>
      </c>
      <c r="J98">
        <v>4</v>
      </c>
      <c r="K98">
        <v>26000</v>
      </c>
      <c r="L98">
        <v>0</v>
      </c>
      <c r="M98">
        <v>104000</v>
      </c>
      <c r="N98">
        <v>15000</v>
      </c>
      <c r="O98" t="s">
        <v>23</v>
      </c>
      <c r="P98" t="s">
        <v>47</v>
      </c>
    </row>
    <row r="99" spans="1:16" x14ac:dyDescent="0.25">
      <c r="A99">
        <v>100098</v>
      </c>
      <c r="B99" s="1">
        <v>46074</v>
      </c>
      <c r="C99" t="s">
        <v>25</v>
      </c>
      <c r="D99" t="s">
        <v>26</v>
      </c>
      <c r="E99" t="s">
        <v>37</v>
      </c>
      <c r="F99" t="s">
        <v>19</v>
      </c>
      <c r="G99" t="s">
        <v>52</v>
      </c>
      <c r="H99" t="s">
        <v>82</v>
      </c>
      <c r="I99" t="s">
        <v>22</v>
      </c>
      <c r="J99">
        <v>1</v>
      </c>
      <c r="K99">
        <v>42000</v>
      </c>
      <c r="L99">
        <v>0.05</v>
      </c>
      <c r="M99">
        <v>39900</v>
      </c>
      <c r="N99">
        <v>28000</v>
      </c>
      <c r="O99" t="s">
        <v>23</v>
      </c>
      <c r="P99" t="s">
        <v>54</v>
      </c>
    </row>
    <row r="100" spans="1:16" x14ac:dyDescent="0.25">
      <c r="A100">
        <v>100099</v>
      </c>
      <c r="B100" s="1">
        <v>46089</v>
      </c>
      <c r="C100" t="s">
        <v>25</v>
      </c>
      <c r="D100" t="s">
        <v>26</v>
      </c>
      <c r="E100" t="s">
        <v>43</v>
      </c>
      <c r="F100" t="s">
        <v>27</v>
      </c>
      <c r="G100" t="s">
        <v>33</v>
      </c>
      <c r="H100" t="s">
        <v>53</v>
      </c>
      <c r="I100" t="s">
        <v>22</v>
      </c>
      <c r="J100">
        <v>2</v>
      </c>
      <c r="K100">
        <v>32000</v>
      </c>
      <c r="L100">
        <v>0</v>
      </c>
      <c r="M100">
        <v>64000</v>
      </c>
      <c r="N100">
        <v>19000</v>
      </c>
      <c r="O100" t="s">
        <v>23</v>
      </c>
      <c r="P100" t="s">
        <v>54</v>
      </c>
    </row>
    <row r="101" spans="1:16" x14ac:dyDescent="0.25">
      <c r="A101">
        <v>100100</v>
      </c>
      <c r="B101" s="1">
        <v>46086</v>
      </c>
      <c r="C101" t="s">
        <v>42</v>
      </c>
      <c r="D101" t="s">
        <v>26</v>
      </c>
      <c r="E101" t="s">
        <v>43</v>
      </c>
      <c r="F101" t="s">
        <v>27</v>
      </c>
      <c r="G101" t="s">
        <v>33</v>
      </c>
      <c r="H101" t="s">
        <v>87</v>
      </c>
      <c r="I101" t="s">
        <v>22</v>
      </c>
      <c r="J101">
        <v>3</v>
      </c>
      <c r="K101">
        <v>32000</v>
      </c>
      <c r="L101">
        <v>0.05</v>
      </c>
      <c r="M101">
        <v>91200</v>
      </c>
      <c r="N101">
        <v>19000</v>
      </c>
      <c r="O101" t="s">
        <v>23</v>
      </c>
      <c r="P101" t="s">
        <v>64</v>
      </c>
    </row>
    <row r="102" spans="1:16" x14ac:dyDescent="0.25">
      <c r="A102">
        <v>100101</v>
      </c>
      <c r="B102" s="1">
        <v>46213</v>
      </c>
      <c r="C102" t="s">
        <v>16</v>
      </c>
      <c r="D102" t="s">
        <v>17</v>
      </c>
      <c r="E102" t="s">
        <v>43</v>
      </c>
      <c r="F102" t="s">
        <v>44</v>
      </c>
      <c r="G102" t="s">
        <v>60</v>
      </c>
      <c r="H102" t="s">
        <v>139</v>
      </c>
      <c r="I102" t="s">
        <v>30</v>
      </c>
      <c r="J102">
        <v>5</v>
      </c>
      <c r="K102">
        <v>9000</v>
      </c>
      <c r="L102">
        <v>0.05</v>
      </c>
      <c r="M102">
        <v>42750</v>
      </c>
      <c r="N102">
        <v>3500</v>
      </c>
      <c r="O102" t="s">
        <v>23</v>
      </c>
      <c r="P102" t="s">
        <v>24</v>
      </c>
    </row>
    <row r="103" spans="1:16" x14ac:dyDescent="0.25">
      <c r="A103">
        <v>100102</v>
      </c>
      <c r="B103" s="1">
        <v>46199</v>
      </c>
      <c r="C103" t="s">
        <v>42</v>
      </c>
      <c r="D103" t="s">
        <v>26</v>
      </c>
      <c r="E103" t="s">
        <v>18</v>
      </c>
      <c r="F103" t="s">
        <v>19</v>
      </c>
      <c r="G103" t="s">
        <v>62</v>
      </c>
      <c r="H103" t="s">
        <v>140</v>
      </c>
      <c r="I103" t="s">
        <v>30</v>
      </c>
      <c r="J103">
        <v>2</v>
      </c>
      <c r="K103">
        <v>24000</v>
      </c>
      <c r="L103">
        <v>0</v>
      </c>
      <c r="M103">
        <v>48000</v>
      </c>
      <c r="N103">
        <v>15000</v>
      </c>
      <c r="O103" t="s">
        <v>23</v>
      </c>
      <c r="P103" t="s">
        <v>64</v>
      </c>
    </row>
    <row r="104" spans="1:16" x14ac:dyDescent="0.25">
      <c r="A104">
        <v>100103</v>
      </c>
      <c r="B104" s="1">
        <v>46193</v>
      </c>
      <c r="C104" t="s">
        <v>32</v>
      </c>
      <c r="D104" t="s">
        <v>17</v>
      </c>
      <c r="E104" t="s">
        <v>37</v>
      </c>
      <c r="F104" t="s">
        <v>27</v>
      </c>
      <c r="G104" t="s">
        <v>28</v>
      </c>
      <c r="H104" t="s">
        <v>141</v>
      </c>
      <c r="I104" t="s">
        <v>22</v>
      </c>
      <c r="J104">
        <v>1</v>
      </c>
      <c r="K104">
        <v>165000</v>
      </c>
      <c r="L104">
        <v>0</v>
      </c>
      <c r="M104">
        <v>165000</v>
      </c>
      <c r="N104">
        <v>112000</v>
      </c>
      <c r="O104" t="s">
        <v>76</v>
      </c>
      <c r="P104" t="s">
        <v>47</v>
      </c>
    </row>
    <row r="105" spans="1:16" x14ac:dyDescent="0.25">
      <c r="A105">
        <v>100104</v>
      </c>
      <c r="B105" s="1">
        <v>46066</v>
      </c>
      <c r="C105" t="s">
        <v>25</v>
      </c>
      <c r="D105" t="s">
        <v>26</v>
      </c>
      <c r="E105" t="s">
        <v>43</v>
      </c>
      <c r="F105" t="s">
        <v>27</v>
      </c>
      <c r="G105" t="s">
        <v>28</v>
      </c>
      <c r="H105" t="s">
        <v>142</v>
      </c>
      <c r="I105" t="s">
        <v>22</v>
      </c>
      <c r="J105">
        <v>3</v>
      </c>
      <c r="K105">
        <v>165000</v>
      </c>
      <c r="L105">
        <v>0</v>
      </c>
      <c r="M105">
        <v>495000</v>
      </c>
      <c r="N105">
        <v>112000</v>
      </c>
      <c r="O105" t="s">
        <v>23</v>
      </c>
      <c r="P105" t="s">
        <v>40</v>
      </c>
    </row>
    <row r="106" spans="1:16" x14ac:dyDescent="0.25">
      <c r="A106">
        <v>100105</v>
      </c>
      <c r="B106" s="1">
        <v>46177</v>
      </c>
      <c r="C106" t="s">
        <v>50</v>
      </c>
      <c r="D106" t="s">
        <v>51</v>
      </c>
      <c r="E106" t="s">
        <v>18</v>
      </c>
      <c r="F106" t="s">
        <v>19</v>
      </c>
      <c r="G106" t="s">
        <v>20</v>
      </c>
      <c r="H106" t="s">
        <v>143</v>
      </c>
      <c r="I106" t="s">
        <v>22</v>
      </c>
      <c r="J106">
        <v>2</v>
      </c>
      <c r="K106">
        <v>58000</v>
      </c>
      <c r="L106">
        <v>0</v>
      </c>
      <c r="M106">
        <v>116000</v>
      </c>
      <c r="N106">
        <v>39000</v>
      </c>
      <c r="O106" t="s">
        <v>23</v>
      </c>
      <c r="P106" t="s">
        <v>58</v>
      </c>
    </row>
    <row r="107" spans="1:16" x14ac:dyDescent="0.25">
      <c r="A107">
        <v>100106</v>
      </c>
      <c r="B107" s="1">
        <v>46082</v>
      </c>
      <c r="C107" t="s">
        <v>50</v>
      </c>
      <c r="D107" t="s">
        <v>51</v>
      </c>
      <c r="E107" t="s">
        <v>43</v>
      </c>
      <c r="F107" t="s">
        <v>19</v>
      </c>
      <c r="G107" t="s">
        <v>52</v>
      </c>
      <c r="H107" t="s">
        <v>144</v>
      </c>
      <c r="I107" t="s">
        <v>30</v>
      </c>
      <c r="J107">
        <v>5</v>
      </c>
      <c r="K107">
        <v>42000</v>
      </c>
      <c r="L107">
        <v>0.05</v>
      </c>
      <c r="M107">
        <v>199500</v>
      </c>
      <c r="N107">
        <v>28000</v>
      </c>
      <c r="O107" t="s">
        <v>23</v>
      </c>
      <c r="P107" t="s">
        <v>31</v>
      </c>
    </row>
    <row r="108" spans="1:16" x14ac:dyDescent="0.25">
      <c r="A108">
        <v>100107</v>
      </c>
      <c r="B108" s="1">
        <v>46049</v>
      </c>
      <c r="C108" t="s">
        <v>55</v>
      </c>
      <c r="D108" t="s">
        <v>56</v>
      </c>
      <c r="E108" t="s">
        <v>43</v>
      </c>
      <c r="F108" t="s">
        <v>19</v>
      </c>
      <c r="G108" t="s">
        <v>20</v>
      </c>
      <c r="H108" t="s">
        <v>39</v>
      </c>
      <c r="I108" t="s">
        <v>30</v>
      </c>
      <c r="J108">
        <v>1</v>
      </c>
      <c r="K108">
        <v>58000</v>
      </c>
      <c r="L108">
        <v>0.1</v>
      </c>
      <c r="M108">
        <v>52200</v>
      </c>
      <c r="N108">
        <v>39000</v>
      </c>
      <c r="O108" t="s">
        <v>23</v>
      </c>
      <c r="P108" t="s">
        <v>84</v>
      </c>
    </row>
    <row r="109" spans="1:16" x14ac:dyDescent="0.25">
      <c r="A109">
        <v>100108</v>
      </c>
      <c r="B109" s="1">
        <v>46164</v>
      </c>
      <c r="C109" t="s">
        <v>16</v>
      </c>
      <c r="D109" t="s">
        <v>17</v>
      </c>
      <c r="E109" t="s">
        <v>43</v>
      </c>
      <c r="F109" t="s">
        <v>44</v>
      </c>
      <c r="G109" t="s">
        <v>45</v>
      </c>
      <c r="H109" t="s">
        <v>145</v>
      </c>
      <c r="I109" t="s">
        <v>30</v>
      </c>
      <c r="J109">
        <v>1</v>
      </c>
      <c r="K109">
        <v>6500</v>
      </c>
      <c r="L109">
        <v>0.15</v>
      </c>
      <c r="M109">
        <v>5525</v>
      </c>
      <c r="N109">
        <v>2200</v>
      </c>
      <c r="O109" t="s">
        <v>23</v>
      </c>
      <c r="P109" t="s">
        <v>58</v>
      </c>
    </row>
    <row r="110" spans="1:16" x14ac:dyDescent="0.25">
      <c r="A110">
        <v>100109</v>
      </c>
      <c r="B110" s="1">
        <v>46234</v>
      </c>
      <c r="C110" t="s">
        <v>16</v>
      </c>
      <c r="D110" t="s">
        <v>17</v>
      </c>
      <c r="E110" t="s">
        <v>18</v>
      </c>
      <c r="F110" t="s">
        <v>44</v>
      </c>
      <c r="G110" t="s">
        <v>60</v>
      </c>
      <c r="H110" t="s">
        <v>146</v>
      </c>
      <c r="I110" t="s">
        <v>30</v>
      </c>
      <c r="J110">
        <v>2</v>
      </c>
      <c r="K110">
        <v>9000</v>
      </c>
      <c r="L110">
        <v>0.15</v>
      </c>
      <c r="M110">
        <v>15300</v>
      </c>
      <c r="N110">
        <v>3500</v>
      </c>
      <c r="O110" t="s">
        <v>23</v>
      </c>
      <c r="P110" t="s">
        <v>54</v>
      </c>
    </row>
    <row r="111" spans="1:16" x14ac:dyDescent="0.25">
      <c r="A111">
        <v>100110</v>
      </c>
      <c r="B111" s="1">
        <v>46216</v>
      </c>
      <c r="C111" t="s">
        <v>42</v>
      </c>
      <c r="D111" t="s">
        <v>26</v>
      </c>
      <c r="E111" t="s">
        <v>43</v>
      </c>
      <c r="F111" t="s">
        <v>19</v>
      </c>
      <c r="G111" t="s">
        <v>52</v>
      </c>
      <c r="H111" t="s">
        <v>127</v>
      </c>
      <c r="I111" t="s">
        <v>22</v>
      </c>
      <c r="J111">
        <v>1</v>
      </c>
      <c r="K111">
        <v>42000</v>
      </c>
      <c r="L111">
        <v>0</v>
      </c>
      <c r="M111">
        <v>42000</v>
      </c>
      <c r="N111">
        <v>28000</v>
      </c>
      <c r="O111" t="s">
        <v>23</v>
      </c>
      <c r="P111" t="s">
        <v>58</v>
      </c>
    </row>
    <row r="112" spans="1:16" x14ac:dyDescent="0.25">
      <c r="A112">
        <v>100111</v>
      </c>
      <c r="B112" s="1">
        <v>46234</v>
      </c>
      <c r="C112" t="s">
        <v>42</v>
      </c>
      <c r="D112" t="s">
        <v>26</v>
      </c>
      <c r="E112" t="s">
        <v>43</v>
      </c>
      <c r="F112" t="s">
        <v>44</v>
      </c>
      <c r="G112" t="s">
        <v>65</v>
      </c>
      <c r="H112" t="s">
        <v>147</v>
      </c>
      <c r="I112" t="s">
        <v>30</v>
      </c>
      <c r="J112">
        <v>1</v>
      </c>
      <c r="K112">
        <v>28000</v>
      </c>
      <c r="L112">
        <v>0.05</v>
      </c>
      <c r="M112">
        <v>26600</v>
      </c>
      <c r="N112">
        <v>16000</v>
      </c>
      <c r="O112" t="s">
        <v>23</v>
      </c>
      <c r="P112" t="s">
        <v>54</v>
      </c>
    </row>
    <row r="113" spans="1:16" x14ac:dyDescent="0.25">
      <c r="A113">
        <v>100112</v>
      </c>
      <c r="B113" s="1">
        <v>46048</v>
      </c>
      <c r="C113" t="s">
        <v>35</v>
      </c>
      <c r="D113" t="s">
        <v>36</v>
      </c>
      <c r="E113" t="s">
        <v>43</v>
      </c>
      <c r="F113" t="s">
        <v>27</v>
      </c>
      <c r="G113" t="s">
        <v>38</v>
      </c>
      <c r="H113" t="s">
        <v>148</v>
      </c>
      <c r="I113" t="s">
        <v>22</v>
      </c>
      <c r="J113">
        <v>2</v>
      </c>
      <c r="K113">
        <v>26000</v>
      </c>
      <c r="L113">
        <v>0.1</v>
      </c>
      <c r="M113">
        <v>46800</v>
      </c>
      <c r="N113">
        <v>15000</v>
      </c>
      <c r="O113" t="s">
        <v>23</v>
      </c>
      <c r="P113" t="s">
        <v>24</v>
      </c>
    </row>
    <row r="114" spans="1:16" x14ac:dyDescent="0.25">
      <c r="A114">
        <v>100113</v>
      </c>
      <c r="B114" s="1">
        <v>46065</v>
      </c>
      <c r="C114" t="s">
        <v>16</v>
      </c>
      <c r="D114" t="s">
        <v>17</v>
      </c>
      <c r="E114" t="s">
        <v>43</v>
      </c>
      <c r="F114" t="s">
        <v>19</v>
      </c>
      <c r="G114" t="s">
        <v>20</v>
      </c>
      <c r="H114" t="s">
        <v>112</v>
      </c>
      <c r="I114" t="s">
        <v>22</v>
      </c>
      <c r="J114">
        <v>3</v>
      </c>
      <c r="K114">
        <v>58000</v>
      </c>
      <c r="L114">
        <v>0.05</v>
      </c>
      <c r="M114">
        <v>165300</v>
      </c>
      <c r="N114">
        <v>39000</v>
      </c>
      <c r="O114" t="s">
        <v>23</v>
      </c>
      <c r="P114" t="s">
        <v>31</v>
      </c>
    </row>
    <row r="115" spans="1:16" x14ac:dyDescent="0.25">
      <c r="A115">
        <v>100114</v>
      </c>
      <c r="B115" s="1">
        <v>46194</v>
      </c>
      <c r="C115" t="s">
        <v>32</v>
      </c>
      <c r="D115" t="s">
        <v>17</v>
      </c>
      <c r="E115" t="s">
        <v>37</v>
      </c>
      <c r="F115" t="s">
        <v>44</v>
      </c>
      <c r="G115" t="s">
        <v>45</v>
      </c>
      <c r="H115" t="s">
        <v>91</v>
      </c>
      <c r="I115" t="s">
        <v>30</v>
      </c>
      <c r="J115">
        <v>2</v>
      </c>
      <c r="K115">
        <v>6500</v>
      </c>
      <c r="L115">
        <v>0.25</v>
      </c>
      <c r="M115">
        <v>9750</v>
      </c>
      <c r="N115">
        <v>2200</v>
      </c>
      <c r="O115" t="s">
        <v>23</v>
      </c>
      <c r="P115" t="s">
        <v>24</v>
      </c>
    </row>
    <row r="116" spans="1:16" x14ac:dyDescent="0.25">
      <c r="A116">
        <v>100115</v>
      </c>
      <c r="B116" s="1">
        <v>46112</v>
      </c>
      <c r="C116" t="s">
        <v>42</v>
      </c>
      <c r="D116" t="s">
        <v>26</v>
      </c>
      <c r="E116" t="s">
        <v>37</v>
      </c>
      <c r="F116" t="s">
        <v>27</v>
      </c>
      <c r="G116" t="s">
        <v>38</v>
      </c>
      <c r="H116" t="s">
        <v>149</v>
      </c>
      <c r="I116" t="s">
        <v>22</v>
      </c>
      <c r="J116">
        <v>2</v>
      </c>
      <c r="K116">
        <v>26000</v>
      </c>
      <c r="L116">
        <v>0.1</v>
      </c>
      <c r="M116">
        <v>46800</v>
      </c>
      <c r="N116">
        <v>15000</v>
      </c>
      <c r="O116" t="s">
        <v>23</v>
      </c>
      <c r="P116" t="s">
        <v>84</v>
      </c>
    </row>
    <row r="117" spans="1:16" x14ac:dyDescent="0.25">
      <c r="A117">
        <v>100116</v>
      </c>
      <c r="B117" s="1">
        <v>46056</v>
      </c>
      <c r="C117" t="s">
        <v>55</v>
      </c>
      <c r="D117" t="s">
        <v>56</v>
      </c>
      <c r="E117" t="s">
        <v>43</v>
      </c>
      <c r="F117" t="s">
        <v>150</v>
      </c>
      <c r="G117" t="s">
        <v>65</v>
      </c>
      <c r="H117" t="s">
        <v>107</v>
      </c>
      <c r="I117" t="s">
        <v>30</v>
      </c>
      <c r="J117">
        <v>5</v>
      </c>
      <c r="K117">
        <v>28000</v>
      </c>
      <c r="L117">
        <v>0</v>
      </c>
      <c r="M117">
        <v>140000</v>
      </c>
      <c r="N117">
        <v>16000</v>
      </c>
      <c r="O117" t="s">
        <v>23</v>
      </c>
      <c r="P117" t="s">
        <v>31</v>
      </c>
    </row>
    <row r="118" spans="1:16" x14ac:dyDescent="0.25">
      <c r="A118">
        <v>100117</v>
      </c>
      <c r="B118" s="1">
        <v>46122</v>
      </c>
      <c r="C118" t="s">
        <v>42</v>
      </c>
      <c r="D118" t="s">
        <v>26</v>
      </c>
      <c r="E118" t="s">
        <v>43</v>
      </c>
      <c r="F118" t="s">
        <v>44</v>
      </c>
      <c r="G118" t="s">
        <v>60</v>
      </c>
      <c r="H118" t="s">
        <v>113</v>
      </c>
      <c r="I118" t="s">
        <v>22</v>
      </c>
      <c r="J118">
        <v>4</v>
      </c>
      <c r="K118">
        <v>9000</v>
      </c>
      <c r="L118">
        <v>0</v>
      </c>
      <c r="M118">
        <v>36000</v>
      </c>
      <c r="N118">
        <v>3500</v>
      </c>
      <c r="O118" t="s">
        <v>23</v>
      </c>
      <c r="P118" t="s">
        <v>64</v>
      </c>
    </row>
    <row r="119" spans="1:16" x14ac:dyDescent="0.25">
      <c r="A119">
        <v>100118</v>
      </c>
      <c r="B119" s="1">
        <v>46260</v>
      </c>
      <c r="C119" t="s">
        <v>50</v>
      </c>
      <c r="D119" t="s">
        <v>51</v>
      </c>
      <c r="E119" t="s">
        <v>18</v>
      </c>
      <c r="F119" t="s">
        <v>27</v>
      </c>
      <c r="G119" t="s">
        <v>38</v>
      </c>
      <c r="H119" t="s">
        <v>87</v>
      </c>
      <c r="I119" t="s">
        <v>22</v>
      </c>
      <c r="J119">
        <v>3</v>
      </c>
      <c r="K119">
        <v>26000</v>
      </c>
      <c r="L119">
        <v>0</v>
      </c>
      <c r="M119">
        <v>78000</v>
      </c>
      <c r="N119">
        <v>15000</v>
      </c>
      <c r="O119" t="s">
        <v>23</v>
      </c>
      <c r="P119" t="s">
        <v>58</v>
      </c>
    </row>
    <row r="120" spans="1:16" x14ac:dyDescent="0.25">
      <c r="A120">
        <v>100119</v>
      </c>
      <c r="B120" s="1">
        <v>46201</v>
      </c>
      <c r="C120" t="s">
        <v>42</v>
      </c>
      <c r="D120" t="s">
        <v>26</v>
      </c>
      <c r="E120" t="s">
        <v>18</v>
      </c>
      <c r="F120" t="s">
        <v>44</v>
      </c>
      <c r="G120" t="s">
        <v>60</v>
      </c>
      <c r="H120" t="s">
        <v>59</v>
      </c>
      <c r="I120" t="s">
        <v>30</v>
      </c>
      <c r="J120">
        <v>4</v>
      </c>
      <c r="K120">
        <v>9000</v>
      </c>
      <c r="L120">
        <v>0</v>
      </c>
      <c r="M120">
        <v>36000</v>
      </c>
      <c r="N120">
        <v>3500</v>
      </c>
      <c r="O120" t="s">
        <v>23</v>
      </c>
      <c r="P120" t="s">
        <v>54</v>
      </c>
    </row>
    <row r="121" spans="1:16" x14ac:dyDescent="0.25">
      <c r="A121">
        <v>100120</v>
      </c>
      <c r="B121" s="1">
        <v>46048</v>
      </c>
      <c r="C121" t="s">
        <v>25</v>
      </c>
      <c r="D121" t="s">
        <v>26</v>
      </c>
      <c r="E121" t="s">
        <v>43</v>
      </c>
      <c r="F121" t="s">
        <v>27</v>
      </c>
      <c r="G121" t="s">
        <v>28</v>
      </c>
      <c r="H121" t="s">
        <v>151</v>
      </c>
      <c r="I121" t="s">
        <v>30</v>
      </c>
      <c r="J121">
        <v>1</v>
      </c>
      <c r="K121">
        <v>165000</v>
      </c>
      <c r="L121">
        <v>0</v>
      </c>
      <c r="M121">
        <v>165000</v>
      </c>
      <c r="N121">
        <v>112000</v>
      </c>
      <c r="O121" t="s">
        <v>76</v>
      </c>
      <c r="P121" t="s">
        <v>58</v>
      </c>
    </row>
    <row r="122" spans="1:16" x14ac:dyDescent="0.25">
      <c r="A122">
        <v>100121</v>
      </c>
      <c r="B122" s="1">
        <v>46248</v>
      </c>
      <c r="C122" t="s">
        <v>50</v>
      </c>
      <c r="D122" t="s">
        <v>51</v>
      </c>
      <c r="E122" t="s">
        <v>43</v>
      </c>
      <c r="F122" t="s">
        <v>44</v>
      </c>
      <c r="G122" t="s">
        <v>60</v>
      </c>
      <c r="H122" t="s">
        <v>152</v>
      </c>
      <c r="I122" t="s">
        <v>22</v>
      </c>
      <c r="J122">
        <v>4</v>
      </c>
      <c r="K122">
        <v>9000</v>
      </c>
      <c r="L122">
        <v>0</v>
      </c>
      <c r="M122">
        <v>32400</v>
      </c>
      <c r="N122">
        <v>3500</v>
      </c>
      <c r="O122" t="s">
        <v>23</v>
      </c>
      <c r="P122" t="s">
        <v>47</v>
      </c>
    </row>
    <row r="123" spans="1:16" x14ac:dyDescent="0.25">
      <c r="A123">
        <v>100122</v>
      </c>
      <c r="B123" s="1">
        <v>46226</v>
      </c>
      <c r="C123" t="s">
        <v>55</v>
      </c>
      <c r="D123" t="s">
        <v>56</v>
      </c>
      <c r="E123" t="s">
        <v>43</v>
      </c>
      <c r="F123" t="s">
        <v>19</v>
      </c>
      <c r="G123" t="s">
        <v>62</v>
      </c>
      <c r="H123" t="s">
        <v>81</v>
      </c>
      <c r="I123" t="s">
        <v>22</v>
      </c>
      <c r="J123">
        <v>3</v>
      </c>
      <c r="K123">
        <v>24000</v>
      </c>
      <c r="L123">
        <v>0</v>
      </c>
      <c r="M123">
        <v>72000</v>
      </c>
      <c r="N123">
        <v>15000</v>
      </c>
      <c r="O123" t="s">
        <v>23</v>
      </c>
      <c r="P123" t="s">
        <v>64</v>
      </c>
    </row>
    <row r="124" spans="1:16" x14ac:dyDescent="0.25">
      <c r="A124">
        <v>100123</v>
      </c>
      <c r="B124" s="1">
        <v>46172</v>
      </c>
      <c r="C124" t="s">
        <v>32</v>
      </c>
      <c r="D124" t="s">
        <v>17</v>
      </c>
      <c r="E124" t="s">
        <v>43</v>
      </c>
      <c r="F124" t="s">
        <v>27</v>
      </c>
      <c r="G124" t="s">
        <v>33</v>
      </c>
      <c r="H124" t="s">
        <v>131</v>
      </c>
      <c r="I124" t="s">
        <v>30</v>
      </c>
      <c r="J124">
        <v>4</v>
      </c>
      <c r="K124">
        <v>32000</v>
      </c>
      <c r="L124">
        <v>0.1</v>
      </c>
      <c r="M124">
        <v>115200</v>
      </c>
      <c r="N124">
        <v>19000</v>
      </c>
      <c r="O124" t="s">
        <v>23</v>
      </c>
      <c r="P124" t="s">
        <v>54</v>
      </c>
    </row>
    <row r="125" spans="1:16" x14ac:dyDescent="0.25">
      <c r="A125">
        <v>100124</v>
      </c>
      <c r="B125" s="1">
        <v>46227</v>
      </c>
      <c r="C125" t="s">
        <v>35</v>
      </c>
      <c r="D125" t="s">
        <v>36</v>
      </c>
      <c r="E125" t="s">
        <v>37</v>
      </c>
      <c r="F125" t="s">
        <v>27</v>
      </c>
      <c r="G125" t="s">
        <v>33</v>
      </c>
      <c r="H125" t="s">
        <v>101</v>
      </c>
      <c r="I125" t="s">
        <v>30</v>
      </c>
      <c r="J125">
        <v>3</v>
      </c>
      <c r="K125">
        <v>32000</v>
      </c>
      <c r="L125">
        <v>0.15</v>
      </c>
      <c r="M125">
        <v>81600</v>
      </c>
      <c r="N125">
        <v>19000</v>
      </c>
      <c r="O125" t="s">
        <v>23</v>
      </c>
      <c r="P125" t="s">
        <v>58</v>
      </c>
    </row>
    <row r="126" spans="1:16" x14ac:dyDescent="0.25">
      <c r="A126">
        <v>100125</v>
      </c>
      <c r="B126" s="1">
        <v>46081</v>
      </c>
      <c r="C126" t="s">
        <v>55</v>
      </c>
      <c r="D126" t="s">
        <v>56</v>
      </c>
      <c r="E126" t="s">
        <v>43</v>
      </c>
      <c r="F126" t="s">
        <v>27</v>
      </c>
      <c r="G126" t="s">
        <v>33</v>
      </c>
      <c r="H126" t="s">
        <v>73</v>
      </c>
      <c r="I126" t="s">
        <v>30</v>
      </c>
      <c r="J126">
        <v>3</v>
      </c>
      <c r="K126">
        <v>32000</v>
      </c>
      <c r="L126">
        <v>0.15</v>
      </c>
      <c r="M126">
        <v>81600</v>
      </c>
      <c r="N126">
        <v>19000</v>
      </c>
      <c r="O126" t="s">
        <v>23</v>
      </c>
      <c r="P126" t="s">
        <v>24</v>
      </c>
    </row>
    <row r="127" spans="1:16" x14ac:dyDescent="0.25">
      <c r="A127">
        <v>100126</v>
      </c>
      <c r="B127" s="1">
        <v>46221</v>
      </c>
      <c r="C127" t="s">
        <v>16</v>
      </c>
      <c r="D127" t="s">
        <v>17</v>
      </c>
      <c r="E127" t="s">
        <v>18</v>
      </c>
      <c r="F127" t="s">
        <v>27</v>
      </c>
      <c r="G127" t="s">
        <v>28</v>
      </c>
      <c r="H127" t="s">
        <v>74</v>
      </c>
      <c r="I127" t="s">
        <v>30</v>
      </c>
      <c r="J127">
        <v>2</v>
      </c>
      <c r="K127">
        <v>165000</v>
      </c>
      <c r="L127">
        <v>0.25</v>
      </c>
      <c r="M127">
        <v>247500</v>
      </c>
      <c r="N127">
        <v>112000</v>
      </c>
      <c r="O127" t="s">
        <v>23</v>
      </c>
      <c r="P127" t="s">
        <v>64</v>
      </c>
    </row>
    <row r="128" spans="1:16" x14ac:dyDescent="0.25">
      <c r="A128">
        <v>100127</v>
      </c>
      <c r="B128" s="1">
        <v>46032</v>
      </c>
      <c r="C128" t="s">
        <v>32</v>
      </c>
      <c r="D128" t="s">
        <v>17</v>
      </c>
      <c r="E128" t="s">
        <v>37</v>
      </c>
      <c r="F128" t="s">
        <v>44</v>
      </c>
      <c r="G128" t="s">
        <v>60</v>
      </c>
      <c r="H128" t="s">
        <v>153</v>
      </c>
      <c r="I128" t="s">
        <v>30</v>
      </c>
      <c r="J128">
        <v>3</v>
      </c>
      <c r="K128">
        <v>9000</v>
      </c>
      <c r="L128">
        <v>0.25</v>
      </c>
      <c r="M128">
        <v>20250</v>
      </c>
      <c r="O128" t="s">
        <v>23</v>
      </c>
      <c r="P128" t="s">
        <v>47</v>
      </c>
    </row>
    <row r="129" spans="1:16" x14ac:dyDescent="0.25">
      <c r="A129">
        <v>100128</v>
      </c>
      <c r="B129" s="1">
        <v>46113</v>
      </c>
      <c r="C129" t="s">
        <v>32</v>
      </c>
      <c r="D129" t="s">
        <v>17</v>
      </c>
      <c r="E129" t="s">
        <v>18</v>
      </c>
      <c r="F129" t="s">
        <v>27</v>
      </c>
      <c r="G129" t="s">
        <v>28</v>
      </c>
      <c r="H129" t="s">
        <v>152</v>
      </c>
      <c r="I129" t="s">
        <v>22</v>
      </c>
      <c r="J129">
        <v>2</v>
      </c>
      <c r="K129">
        <v>165000</v>
      </c>
      <c r="L129">
        <v>0</v>
      </c>
      <c r="M129">
        <v>330000</v>
      </c>
      <c r="O129" t="s">
        <v>23</v>
      </c>
      <c r="P129" t="s">
        <v>58</v>
      </c>
    </row>
    <row r="130" spans="1:16" x14ac:dyDescent="0.25">
      <c r="A130">
        <v>100129</v>
      </c>
      <c r="B130" s="1">
        <v>46114</v>
      </c>
      <c r="C130" t="s">
        <v>55</v>
      </c>
      <c r="D130" t="s">
        <v>56</v>
      </c>
      <c r="E130" t="s">
        <v>18</v>
      </c>
      <c r="F130" t="s">
        <v>44</v>
      </c>
      <c r="G130" t="s">
        <v>65</v>
      </c>
      <c r="H130" t="s">
        <v>154</v>
      </c>
      <c r="I130" t="s">
        <v>22</v>
      </c>
      <c r="J130">
        <v>2</v>
      </c>
      <c r="K130">
        <v>28000</v>
      </c>
      <c r="L130">
        <v>0.05</v>
      </c>
      <c r="M130">
        <v>53200</v>
      </c>
      <c r="N130">
        <v>16000</v>
      </c>
      <c r="O130" t="s">
        <v>23</v>
      </c>
      <c r="P130" t="s">
        <v>24</v>
      </c>
    </row>
    <row r="131" spans="1:16" x14ac:dyDescent="0.25">
      <c r="A131">
        <v>100130</v>
      </c>
      <c r="B131" s="1">
        <v>46126</v>
      </c>
      <c r="C131" t="s">
        <v>42</v>
      </c>
      <c r="D131" t="s">
        <v>26</v>
      </c>
      <c r="E131" t="s">
        <v>18</v>
      </c>
      <c r="F131" t="s">
        <v>44</v>
      </c>
      <c r="G131" t="s">
        <v>60</v>
      </c>
      <c r="H131" t="s">
        <v>155</v>
      </c>
      <c r="I131" t="s">
        <v>22</v>
      </c>
      <c r="J131">
        <v>2</v>
      </c>
      <c r="K131">
        <v>9000</v>
      </c>
      <c r="L131">
        <v>0</v>
      </c>
      <c r="M131">
        <v>18000</v>
      </c>
      <c r="N131">
        <v>3500</v>
      </c>
      <c r="O131" t="s">
        <v>23</v>
      </c>
      <c r="P131" t="s">
        <v>31</v>
      </c>
    </row>
    <row r="132" spans="1:16" x14ac:dyDescent="0.25">
      <c r="A132">
        <v>100131</v>
      </c>
      <c r="B132" s="1">
        <v>46090</v>
      </c>
      <c r="C132" t="s">
        <v>42</v>
      </c>
      <c r="D132" t="s">
        <v>26</v>
      </c>
      <c r="E132" t="s">
        <v>18</v>
      </c>
      <c r="F132" t="s">
        <v>19</v>
      </c>
      <c r="G132" t="s">
        <v>52</v>
      </c>
      <c r="H132" t="s">
        <v>156</v>
      </c>
      <c r="I132" t="s">
        <v>22</v>
      </c>
      <c r="J132">
        <v>1</v>
      </c>
      <c r="K132">
        <v>42000</v>
      </c>
      <c r="L132">
        <v>0</v>
      </c>
      <c r="M132">
        <v>42000</v>
      </c>
      <c r="N132">
        <v>28000</v>
      </c>
      <c r="O132" t="s">
        <v>23</v>
      </c>
      <c r="P132" t="s">
        <v>58</v>
      </c>
    </row>
    <row r="133" spans="1:16" x14ac:dyDescent="0.25">
      <c r="A133">
        <v>100132</v>
      </c>
      <c r="B133" s="1">
        <v>46258</v>
      </c>
      <c r="C133" t="s">
        <v>55</v>
      </c>
      <c r="D133" t="s">
        <v>56</v>
      </c>
      <c r="E133" t="s">
        <v>43</v>
      </c>
      <c r="F133" t="s">
        <v>27</v>
      </c>
      <c r="G133" t="s">
        <v>38</v>
      </c>
      <c r="H133" t="s">
        <v>157</v>
      </c>
      <c r="I133" t="s">
        <v>30</v>
      </c>
      <c r="J133">
        <v>4</v>
      </c>
      <c r="K133">
        <v>26000</v>
      </c>
      <c r="L133">
        <v>0</v>
      </c>
      <c r="M133">
        <v>104000</v>
      </c>
      <c r="N133">
        <v>15000</v>
      </c>
      <c r="O133" t="s">
        <v>23</v>
      </c>
      <c r="P133" t="s">
        <v>84</v>
      </c>
    </row>
    <row r="134" spans="1:16" x14ac:dyDescent="0.25">
      <c r="A134">
        <v>100133</v>
      </c>
      <c r="B134" s="1">
        <v>46202</v>
      </c>
      <c r="C134" t="s">
        <v>35</v>
      </c>
      <c r="D134" t="s">
        <v>36</v>
      </c>
      <c r="E134" t="s">
        <v>43</v>
      </c>
      <c r="F134" t="s">
        <v>19</v>
      </c>
      <c r="G134" t="s">
        <v>62</v>
      </c>
      <c r="H134" t="s">
        <v>57</v>
      </c>
      <c r="I134" t="s">
        <v>30</v>
      </c>
      <c r="J134">
        <v>1</v>
      </c>
      <c r="K134">
        <v>24000</v>
      </c>
      <c r="L134">
        <v>0</v>
      </c>
      <c r="M134">
        <v>24000</v>
      </c>
      <c r="N134">
        <v>15000</v>
      </c>
      <c r="O134" t="s">
        <v>23</v>
      </c>
      <c r="P134" t="s">
        <v>31</v>
      </c>
    </row>
    <row r="135" spans="1:16" x14ac:dyDescent="0.25">
      <c r="A135">
        <v>100134</v>
      </c>
      <c r="B135" s="1">
        <v>46145</v>
      </c>
      <c r="C135" t="s">
        <v>16</v>
      </c>
      <c r="D135" t="s">
        <v>17</v>
      </c>
      <c r="E135" t="s">
        <v>37</v>
      </c>
      <c r="F135" t="s">
        <v>19</v>
      </c>
      <c r="G135" t="s">
        <v>20</v>
      </c>
      <c r="H135" t="s">
        <v>158</v>
      </c>
      <c r="I135" t="s">
        <v>30</v>
      </c>
      <c r="J135">
        <v>3</v>
      </c>
      <c r="K135">
        <v>58000</v>
      </c>
      <c r="L135">
        <v>0.25</v>
      </c>
      <c r="M135">
        <v>130500</v>
      </c>
      <c r="N135">
        <v>39000</v>
      </c>
      <c r="O135" t="s">
        <v>23</v>
      </c>
      <c r="P135" t="s">
        <v>64</v>
      </c>
    </row>
    <row r="136" spans="1:16" x14ac:dyDescent="0.25">
      <c r="A136">
        <v>100135</v>
      </c>
      <c r="B136" s="1">
        <v>46121</v>
      </c>
      <c r="C136" t="s">
        <v>35</v>
      </c>
      <c r="D136" t="s">
        <v>36</v>
      </c>
      <c r="E136" t="s">
        <v>18</v>
      </c>
      <c r="F136" t="s">
        <v>19</v>
      </c>
      <c r="G136" t="s">
        <v>62</v>
      </c>
      <c r="H136" t="s">
        <v>159</v>
      </c>
      <c r="I136" t="s">
        <v>30</v>
      </c>
      <c r="J136">
        <v>1</v>
      </c>
      <c r="K136">
        <v>24000</v>
      </c>
      <c r="L136">
        <v>0.15</v>
      </c>
      <c r="M136">
        <v>20400</v>
      </c>
      <c r="N136">
        <v>15000</v>
      </c>
      <c r="O136" t="s">
        <v>23</v>
      </c>
      <c r="P136" t="s">
        <v>31</v>
      </c>
    </row>
    <row r="137" spans="1:16" x14ac:dyDescent="0.25">
      <c r="A137">
        <v>100136</v>
      </c>
      <c r="B137" s="1">
        <v>46062</v>
      </c>
      <c r="C137" t="s">
        <v>35</v>
      </c>
      <c r="D137" t="s">
        <v>36</v>
      </c>
      <c r="E137" t="s">
        <v>43</v>
      </c>
      <c r="F137" t="s">
        <v>27</v>
      </c>
      <c r="G137" t="s">
        <v>38</v>
      </c>
      <c r="H137" t="s">
        <v>160</v>
      </c>
      <c r="I137" t="s">
        <v>22</v>
      </c>
      <c r="J137">
        <v>2</v>
      </c>
      <c r="K137">
        <v>26000</v>
      </c>
      <c r="L137">
        <v>0.15</v>
      </c>
      <c r="M137">
        <v>44200</v>
      </c>
      <c r="N137">
        <v>15000</v>
      </c>
      <c r="O137" t="s">
        <v>23</v>
      </c>
      <c r="P137" t="s">
        <v>54</v>
      </c>
    </row>
    <row r="138" spans="1:16" x14ac:dyDescent="0.25">
      <c r="A138">
        <v>100137</v>
      </c>
      <c r="B138" s="1">
        <v>46151</v>
      </c>
      <c r="C138" t="s">
        <v>25</v>
      </c>
      <c r="D138" t="s">
        <v>26</v>
      </c>
      <c r="E138" t="s">
        <v>37</v>
      </c>
      <c r="F138" t="s">
        <v>19</v>
      </c>
      <c r="G138" t="s">
        <v>52</v>
      </c>
      <c r="H138" t="s">
        <v>161</v>
      </c>
      <c r="I138" t="s">
        <v>30</v>
      </c>
      <c r="J138">
        <v>2</v>
      </c>
      <c r="K138">
        <v>42000</v>
      </c>
      <c r="L138">
        <v>0</v>
      </c>
      <c r="M138">
        <v>84000</v>
      </c>
      <c r="N138">
        <v>28000</v>
      </c>
      <c r="O138" t="s">
        <v>23</v>
      </c>
      <c r="P138" t="s">
        <v>58</v>
      </c>
    </row>
    <row r="139" spans="1:16" x14ac:dyDescent="0.25">
      <c r="A139">
        <v>100138</v>
      </c>
      <c r="B139" s="1">
        <v>46137</v>
      </c>
      <c r="C139" t="s">
        <v>50</v>
      </c>
      <c r="D139" t="s">
        <v>51</v>
      </c>
      <c r="E139" t="s">
        <v>43</v>
      </c>
      <c r="F139" t="s">
        <v>27</v>
      </c>
      <c r="G139" t="s">
        <v>33</v>
      </c>
      <c r="H139" t="s">
        <v>46</v>
      </c>
      <c r="I139" t="s">
        <v>30</v>
      </c>
      <c r="J139">
        <v>4</v>
      </c>
      <c r="K139">
        <v>32000</v>
      </c>
      <c r="L139">
        <v>0</v>
      </c>
      <c r="M139">
        <v>128000</v>
      </c>
      <c r="N139">
        <v>19000</v>
      </c>
      <c r="O139" t="s">
        <v>23</v>
      </c>
      <c r="P139" t="s">
        <v>54</v>
      </c>
    </row>
    <row r="140" spans="1:16" x14ac:dyDescent="0.25">
      <c r="A140">
        <v>100139</v>
      </c>
      <c r="B140" s="1">
        <v>46056</v>
      </c>
      <c r="C140" t="s">
        <v>25</v>
      </c>
      <c r="D140" t="s">
        <v>26</v>
      </c>
      <c r="E140" t="s">
        <v>43</v>
      </c>
      <c r="F140" t="s">
        <v>44</v>
      </c>
      <c r="G140" t="s">
        <v>65</v>
      </c>
      <c r="H140" t="s">
        <v>162</v>
      </c>
      <c r="I140" t="s">
        <v>22</v>
      </c>
      <c r="J140">
        <v>3</v>
      </c>
      <c r="K140">
        <v>28000</v>
      </c>
      <c r="L140">
        <v>0.05</v>
      </c>
      <c r="M140">
        <v>79800</v>
      </c>
      <c r="N140">
        <v>16000</v>
      </c>
      <c r="O140" t="s">
        <v>23</v>
      </c>
      <c r="P140" t="s">
        <v>47</v>
      </c>
    </row>
    <row r="141" spans="1:16" x14ac:dyDescent="0.25">
      <c r="A141">
        <v>100140</v>
      </c>
      <c r="B141" s="1">
        <v>46100</v>
      </c>
      <c r="C141" t="s">
        <v>42</v>
      </c>
      <c r="D141" t="s">
        <v>26</v>
      </c>
      <c r="E141" t="s">
        <v>43</v>
      </c>
      <c r="F141" t="s">
        <v>44</v>
      </c>
      <c r="G141" t="s">
        <v>45</v>
      </c>
      <c r="H141" t="s">
        <v>143</v>
      </c>
      <c r="I141" t="s">
        <v>30</v>
      </c>
      <c r="J141">
        <v>2</v>
      </c>
      <c r="K141">
        <v>6500</v>
      </c>
      <c r="L141">
        <v>0.15</v>
      </c>
      <c r="M141">
        <v>11050</v>
      </c>
      <c r="N141">
        <v>2200</v>
      </c>
      <c r="O141" t="s">
        <v>23</v>
      </c>
      <c r="P141" t="s">
        <v>64</v>
      </c>
    </row>
    <row r="142" spans="1:16" x14ac:dyDescent="0.25">
      <c r="A142">
        <v>100141</v>
      </c>
      <c r="B142" s="1">
        <v>46043</v>
      </c>
      <c r="C142" t="s">
        <v>42</v>
      </c>
      <c r="D142" t="s">
        <v>26</v>
      </c>
      <c r="E142" t="s">
        <v>43</v>
      </c>
      <c r="F142" t="s">
        <v>19</v>
      </c>
      <c r="G142" t="s">
        <v>52</v>
      </c>
      <c r="H142" t="s">
        <v>98</v>
      </c>
      <c r="I142" t="s">
        <v>30</v>
      </c>
      <c r="J142">
        <v>18</v>
      </c>
      <c r="K142">
        <v>42000</v>
      </c>
      <c r="L142">
        <v>0</v>
      </c>
      <c r="M142">
        <v>756000</v>
      </c>
      <c r="N142">
        <v>28000</v>
      </c>
      <c r="O142" t="s">
        <v>23</v>
      </c>
      <c r="P142" t="s">
        <v>64</v>
      </c>
    </row>
    <row r="143" spans="1:16" x14ac:dyDescent="0.25">
      <c r="A143">
        <v>100142</v>
      </c>
      <c r="B143" s="1">
        <v>46129</v>
      </c>
      <c r="C143" t="s">
        <v>50</v>
      </c>
      <c r="D143" t="s">
        <v>51</v>
      </c>
      <c r="E143" t="s">
        <v>37</v>
      </c>
      <c r="F143" t="s">
        <v>27</v>
      </c>
      <c r="G143" t="s">
        <v>33</v>
      </c>
      <c r="H143" t="s">
        <v>163</v>
      </c>
      <c r="I143" t="s">
        <v>22</v>
      </c>
      <c r="J143">
        <v>1</v>
      </c>
      <c r="K143">
        <v>32000</v>
      </c>
      <c r="L143">
        <v>0</v>
      </c>
      <c r="M143">
        <v>32000</v>
      </c>
      <c r="N143">
        <v>19000</v>
      </c>
      <c r="O143" t="s">
        <v>23</v>
      </c>
      <c r="P143" t="s">
        <v>31</v>
      </c>
    </row>
    <row r="144" spans="1:16" x14ac:dyDescent="0.25">
      <c r="A144">
        <v>100143</v>
      </c>
      <c r="B144" s="1">
        <v>46187</v>
      </c>
      <c r="C144" t="s">
        <v>42</v>
      </c>
      <c r="D144" t="s">
        <v>26</v>
      </c>
      <c r="E144" t="s">
        <v>43</v>
      </c>
      <c r="F144" t="s">
        <v>27</v>
      </c>
      <c r="G144" t="s">
        <v>28</v>
      </c>
      <c r="H144" t="s">
        <v>77</v>
      </c>
      <c r="I144" t="s">
        <v>30</v>
      </c>
      <c r="J144">
        <v>2</v>
      </c>
      <c r="K144">
        <v>165000</v>
      </c>
      <c r="L144">
        <v>0</v>
      </c>
      <c r="M144">
        <v>330000</v>
      </c>
      <c r="N144">
        <v>112000</v>
      </c>
      <c r="O144" t="s">
        <v>23</v>
      </c>
      <c r="P144" t="s">
        <v>64</v>
      </c>
    </row>
    <row r="145" spans="1:16" x14ac:dyDescent="0.25">
      <c r="A145">
        <v>100144</v>
      </c>
      <c r="B145" s="1">
        <v>46132</v>
      </c>
      <c r="C145" t="s">
        <v>50</v>
      </c>
      <c r="D145" t="s">
        <v>51</v>
      </c>
      <c r="E145" t="s">
        <v>18</v>
      </c>
      <c r="F145" t="s">
        <v>27</v>
      </c>
      <c r="G145" t="s">
        <v>33</v>
      </c>
      <c r="H145" t="s">
        <v>164</v>
      </c>
      <c r="I145" t="s">
        <v>22</v>
      </c>
      <c r="J145">
        <v>2</v>
      </c>
      <c r="K145">
        <v>32000</v>
      </c>
      <c r="L145">
        <v>0.15</v>
      </c>
      <c r="M145">
        <v>54400</v>
      </c>
      <c r="N145">
        <v>19000</v>
      </c>
      <c r="O145" t="s">
        <v>76</v>
      </c>
      <c r="P145" t="s">
        <v>40</v>
      </c>
    </row>
    <row r="146" spans="1:16" x14ac:dyDescent="0.25">
      <c r="A146">
        <v>100145</v>
      </c>
      <c r="B146" s="1">
        <v>46141</v>
      </c>
      <c r="C146" t="s">
        <v>50</v>
      </c>
      <c r="D146" t="s">
        <v>51</v>
      </c>
      <c r="E146" t="s">
        <v>43</v>
      </c>
      <c r="F146" t="s">
        <v>44</v>
      </c>
      <c r="G146" t="s">
        <v>65</v>
      </c>
      <c r="H146" t="s">
        <v>119</v>
      </c>
      <c r="I146" t="s">
        <v>22</v>
      </c>
      <c r="J146">
        <v>1</v>
      </c>
      <c r="K146">
        <v>28000</v>
      </c>
      <c r="L146">
        <v>0</v>
      </c>
      <c r="M146">
        <v>28000</v>
      </c>
      <c r="N146">
        <v>16000</v>
      </c>
      <c r="O146" t="s">
        <v>23</v>
      </c>
      <c r="P146" t="s">
        <v>24</v>
      </c>
    </row>
    <row r="147" spans="1:16" x14ac:dyDescent="0.25">
      <c r="A147">
        <v>100146</v>
      </c>
      <c r="B147" s="1">
        <v>46108</v>
      </c>
      <c r="C147" t="s">
        <v>35</v>
      </c>
      <c r="D147" t="s">
        <v>36</v>
      </c>
      <c r="E147" t="s">
        <v>37</v>
      </c>
      <c r="F147" t="s">
        <v>27</v>
      </c>
      <c r="G147" t="s">
        <v>33</v>
      </c>
      <c r="H147" t="s">
        <v>134</v>
      </c>
      <c r="I147" t="s">
        <v>30</v>
      </c>
      <c r="J147">
        <v>1</v>
      </c>
      <c r="K147">
        <v>32000</v>
      </c>
      <c r="L147">
        <v>0.1</v>
      </c>
      <c r="M147">
        <v>28800</v>
      </c>
      <c r="N147">
        <v>19000</v>
      </c>
      <c r="O147" t="s">
        <v>23</v>
      </c>
      <c r="P147" t="s">
        <v>64</v>
      </c>
    </row>
    <row r="148" spans="1:16" x14ac:dyDescent="0.25">
      <c r="A148">
        <v>100147</v>
      </c>
      <c r="B148" s="1">
        <v>46127</v>
      </c>
      <c r="C148" t="s">
        <v>55</v>
      </c>
      <c r="D148" t="s">
        <v>56</v>
      </c>
      <c r="E148" t="s">
        <v>43</v>
      </c>
      <c r="F148" t="s">
        <v>19</v>
      </c>
      <c r="G148" t="s">
        <v>52</v>
      </c>
      <c r="H148" t="s">
        <v>165</v>
      </c>
      <c r="I148" t="s">
        <v>22</v>
      </c>
      <c r="J148">
        <v>2</v>
      </c>
      <c r="K148">
        <v>42000</v>
      </c>
      <c r="L148">
        <v>0.05</v>
      </c>
      <c r="M148">
        <v>79800</v>
      </c>
      <c r="N148">
        <v>28000</v>
      </c>
      <c r="O148" t="s">
        <v>23</v>
      </c>
      <c r="P148" t="s">
        <v>24</v>
      </c>
    </row>
    <row r="149" spans="1:16" x14ac:dyDescent="0.25">
      <c r="A149">
        <v>100148</v>
      </c>
      <c r="B149" s="1">
        <v>46227</v>
      </c>
      <c r="C149" t="s">
        <v>55</v>
      </c>
      <c r="D149" t="s">
        <v>56</v>
      </c>
      <c r="E149" t="s">
        <v>37</v>
      </c>
      <c r="F149" t="s">
        <v>19</v>
      </c>
      <c r="G149" t="s">
        <v>62</v>
      </c>
      <c r="H149" t="s">
        <v>108</v>
      </c>
      <c r="I149" t="s">
        <v>30</v>
      </c>
      <c r="J149">
        <v>1</v>
      </c>
      <c r="K149">
        <v>24000</v>
      </c>
      <c r="L149">
        <v>0.05</v>
      </c>
      <c r="M149">
        <v>22800</v>
      </c>
      <c r="N149">
        <v>15000</v>
      </c>
      <c r="O149" t="s">
        <v>23</v>
      </c>
      <c r="P149" t="s">
        <v>24</v>
      </c>
    </row>
    <row r="150" spans="1:16" x14ac:dyDescent="0.25">
      <c r="A150">
        <v>100149</v>
      </c>
      <c r="B150" s="1">
        <v>46038</v>
      </c>
      <c r="C150" t="s">
        <v>42</v>
      </c>
      <c r="D150" t="s">
        <v>26</v>
      </c>
      <c r="E150" t="s">
        <v>43</v>
      </c>
      <c r="F150" t="s">
        <v>44</v>
      </c>
      <c r="G150" t="s">
        <v>60</v>
      </c>
      <c r="H150" t="s">
        <v>133</v>
      </c>
      <c r="I150" t="s">
        <v>30</v>
      </c>
      <c r="J150">
        <v>4</v>
      </c>
      <c r="K150">
        <v>9000</v>
      </c>
      <c r="L150">
        <v>0.05</v>
      </c>
      <c r="M150">
        <v>34200</v>
      </c>
      <c r="N150">
        <v>3500</v>
      </c>
      <c r="O150" t="s">
        <v>23</v>
      </c>
      <c r="P150" t="s">
        <v>40</v>
      </c>
    </row>
    <row r="151" spans="1:16" x14ac:dyDescent="0.25">
      <c r="A151">
        <v>100150</v>
      </c>
      <c r="B151" s="1">
        <v>46032</v>
      </c>
      <c r="C151" t="s">
        <v>50</v>
      </c>
      <c r="D151" t="s">
        <v>51</v>
      </c>
      <c r="E151" t="s">
        <v>37</v>
      </c>
      <c r="F151" t="s">
        <v>27</v>
      </c>
      <c r="G151" t="s">
        <v>38</v>
      </c>
      <c r="H151" t="s">
        <v>91</v>
      </c>
      <c r="I151" t="s">
        <v>30</v>
      </c>
      <c r="J151">
        <v>1</v>
      </c>
      <c r="K151">
        <v>26000</v>
      </c>
      <c r="L151">
        <v>0.1</v>
      </c>
      <c r="M151">
        <v>23400</v>
      </c>
      <c r="N151">
        <v>15000</v>
      </c>
      <c r="O151" t="s">
        <v>23</v>
      </c>
      <c r="P151" t="s">
        <v>40</v>
      </c>
    </row>
    <row r="152" spans="1:16" x14ac:dyDescent="0.25">
      <c r="A152">
        <v>100151</v>
      </c>
      <c r="B152" s="1">
        <v>46059</v>
      </c>
      <c r="C152" t="s">
        <v>35</v>
      </c>
      <c r="D152" t="s">
        <v>36</v>
      </c>
      <c r="E152" t="s">
        <v>37</v>
      </c>
      <c r="F152" t="s">
        <v>27</v>
      </c>
      <c r="G152" t="s">
        <v>28</v>
      </c>
      <c r="H152" t="s">
        <v>166</v>
      </c>
      <c r="I152" t="s">
        <v>22</v>
      </c>
      <c r="J152">
        <v>1</v>
      </c>
      <c r="K152">
        <v>165000</v>
      </c>
      <c r="L152">
        <v>0.15</v>
      </c>
      <c r="M152">
        <v>140250</v>
      </c>
      <c r="N152">
        <v>112000</v>
      </c>
      <c r="O152" t="s">
        <v>23</v>
      </c>
      <c r="P152" t="s">
        <v>24</v>
      </c>
    </row>
    <row r="153" spans="1:16" x14ac:dyDescent="0.25">
      <c r="A153">
        <v>100152</v>
      </c>
      <c r="B153" s="1">
        <v>46052</v>
      </c>
      <c r="C153" t="s">
        <v>42</v>
      </c>
      <c r="D153" t="s">
        <v>26</v>
      </c>
      <c r="E153" t="s">
        <v>18</v>
      </c>
      <c r="F153" t="s">
        <v>44</v>
      </c>
      <c r="G153" t="s">
        <v>45</v>
      </c>
      <c r="H153" t="s">
        <v>157</v>
      </c>
      <c r="I153" t="s">
        <v>30</v>
      </c>
      <c r="J153">
        <v>1</v>
      </c>
      <c r="K153">
        <v>6500</v>
      </c>
      <c r="L153">
        <v>0</v>
      </c>
      <c r="M153">
        <v>6500</v>
      </c>
      <c r="N153">
        <v>2200</v>
      </c>
      <c r="O153" t="s">
        <v>23</v>
      </c>
      <c r="P153" t="s">
        <v>64</v>
      </c>
    </row>
    <row r="154" spans="1:16" x14ac:dyDescent="0.25">
      <c r="A154">
        <v>100153</v>
      </c>
      <c r="B154" s="1">
        <v>46205</v>
      </c>
      <c r="C154" t="s">
        <v>16</v>
      </c>
      <c r="D154" t="s">
        <v>17</v>
      </c>
      <c r="E154" t="s">
        <v>18</v>
      </c>
      <c r="F154" t="s">
        <v>27</v>
      </c>
      <c r="G154" t="s">
        <v>33</v>
      </c>
      <c r="H154" t="s">
        <v>167</v>
      </c>
      <c r="I154" t="s">
        <v>30</v>
      </c>
      <c r="J154">
        <v>1</v>
      </c>
      <c r="K154">
        <v>32000</v>
      </c>
      <c r="L154">
        <v>0.25</v>
      </c>
      <c r="M154">
        <v>24000</v>
      </c>
      <c r="N154">
        <v>19000</v>
      </c>
      <c r="O154" t="s">
        <v>23</v>
      </c>
      <c r="P154" t="s">
        <v>54</v>
      </c>
    </row>
    <row r="155" spans="1:16" x14ac:dyDescent="0.25">
      <c r="A155">
        <v>100154</v>
      </c>
      <c r="B155" s="1">
        <v>46068</v>
      </c>
      <c r="C155" t="s">
        <v>50</v>
      </c>
      <c r="D155" t="s">
        <v>51</v>
      </c>
      <c r="E155" t="s">
        <v>43</v>
      </c>
      <c r="F155" t="s">
        <v>27</v>
      </c>
      <c r="G155" t="s">
        <v>33</v>
      </c>
      <c r="H155" t="s">
        <v>118</v>
      </c>
      <c r="I155" t="s">
        <v>22</v>
      </c>
      <c r="J155">
        <v>1</v>
      </c>
      <c r="K155">
        <v>32000</v>
      </c>
      <c r="L155">
        <v>0</v>
      </c>
      <c r="M155">
        <v>32000</v>
      </c>
      <c r="O155" t="s">
        <v>23</v>
      </c>
      <c r="P155" t="s">
        <v>54</v>
      </c>
    </row>
    <row r="156" spans="1:16" x14ac:dyDescent="0.25">
      <c r="A156">
        <v>100155</v>
      </c>
      <c r="B156" s="1">
        <v>46198</v>
      </c>
      <c r="C156" t="s">
        <v>42</v>
      </c>
      <c r="D156" t="s">
        <v>26</v>
      </c>
      <c r="E156" t="s">
        <v>43</v>
      </c>
      <c r="F156" t="s">
        <v>44</v>
      </c>
      <c r="G156" t="s">
        <v>65</v>
      </c>
      <c r="H156" t="s">
        <v>102</v>
      </c>
      <c r="I156" t="s">
        <v>22</v>
      </c>
      <c r="J156">
        <v>5</v>
      </c>
      <c r="K156">
        <v>28000</v>
      </c>
      <c r="L156">
        <v>0.15</v>
      </c>
      <c r="M156">
        <v>119000</v>
      </c>
      <c r="N156">
        <v>16000</v>
      </c>
      <c r="O156" t="s">
        <v>23</v>
      </c>
      <c r="P156" t="s">
        <v>24</v>
      </c>
    </row>
    <row r="157" spans="1:16" x14ac:dyDescent="0.25">
      <c r="A157">
        <v>100156</v>
      </c>
      <c r="B157" s="1">
        <v>46215</v>
      </c>
      <c r="C157" t="s">
        <v>25</v>
      </c>
      <c r="D157" t="s">
        <v>26</v>
      </c>
      <c r="E157" t="s">
        <v>43</v>
      </c>
      <c r="F157" t="s">
        <v>27</v>
      </c>
      <c r="G157" t="s">
        <v>33</v>
      </c>
      <c r="H157" t="s">
        <v>74</v>
      </c>
      <c r="I157" t="s">
        <v>22</v>
      </c>
      <c r="J157">
        <v>1</v>
      </c>
      <c r="K157">
        <v>32000</v>
      </c>
      <c r="L157">
        <v>0</v>
      </c>
      <c r="M157">
        <v>32000</v>
      </c>
      <c r="N157">
        <v>19000</v>
      </c>
      <c r="O157" t="s">
        <v>23</v>
      </c>
      <c r="P157" t="s">
        <v>31</v>
      </c>
    </row>
    <row r="158" spans="1:16" x14ac:dyDescent="0.25">
      <c r="A158">
        <v>100157</v>
      </c>
      <c r="B158" s="1">
        <v>46108</v>
      </c>
      <c r="C158" t="s">
        <v>50</v>
      </c>
      <c r="D158" t="s">
        <v>51</v>
      </c>
      <c r="E158" t="s">
        <v>37</v>
      </c>
      <c r="F158" t="s">
        <v>27</v>
      </c>
      <c r="G158" t="s">
        <v>33</v>
      </c>
      <c r="H158" t="s">
        <v>168</v>
      </c>
      <c r="I158" t="s">
        <v>22</v>
      </c>
      <c r="J158">
        <v>1</v>
      </c>
      <c r="K158">
        <v>32000</v>
      </c>
      <c r="L158">
        <v>0.1</v>
      </c>
      <c r="M158">
        <v>28800</v>
      </c>
      <c r="N158">
        <v>19000</v>
      </c>
      <c r="O158" t="s">
        <v>23</v>
      </c>
      <c r="P158" t="s">
        <v>40</v>
      </c>
    </row>
    <row r="159" spans="1:16" x14ac:dyDescent="0.25">
      <c r="A159">
        <v>100158</v>
      </c>
      <c r="B159" s="1">
        <v>46179</v>
      </c>
      <c r="C159" t="s">
        <v>55</v>
      </c>
      <c r="D159" t="s">
        <v>56</v>
      </c>
      <c r="E159" t="s">
        <v>37</v>
      </c>
      <c r="F159" t="s">
        <v>44</v>
      </c>
      <c r="G159" t="s">
        <v>60</v>
      </c>
      <c r="H159" t="s">
        <v>169</v>
      </c>
      <c r="I159" t="s">
        <v>22</v>
      </c>
      <c r="J159">
        <v>2</v>
      </c>
      <c r="K159">
        <v>9000</v>
      </c>
      <c r="L159">
        <v>0.05</v>
      </c>
      <c r="M159">
        <v>17100</v>
      </c>
      <c r="O159" t="s">
        <v>23</v>
      </c>
      <c r="P159" t="s">
        <v>31</v>
      </c>
    </row>
    <row r="160" spans="1:16" x14ac:dyDescent="0.25">
      <c r="A160">
        <v>100159</v>
      </c>
      <c r="B160" s="1">
        <v>46204</v>
      </c>
      <c r="C160" t="s">
        <v>25</v>
      </c>
      <c r="D160" t="s">
        <v>26</v>
      </c>
      <c r="E160" t="s">
        <v>43</v>
      </c>
      <c r="F160" t="s">
        <v>19</v>
      </c>
      <c r="G160" t="s">
        <v>62</v>
      </c>
      <c r="H160" t="s">
        <v>73</v>
      </c>
      <c r="I160" t="s">
        <v>22</v>
      </c>
      <c r="J160">
        <v>1</v>
      </c>
      <c r="K160">
        <v>24000</v>
      </c>
      <c r="L160">
        <v>0</v>
      </c>
      <c r="M160">
        <v>24000</v>
      </c>
      <c r="N160">
        <v>15000</v>
      </c>
      <c r="O160" t="s">
        <v>23</v>
      </c>
      <c r="P160" t="s">
        <v>58</v>
      </c>
    </row>
    <row r="161" spans="1:16" x14ac:dyDescent="0.25">
      <c r="A161">
        <v>100160</v>
      </c>
      <c r="B161" s="1">
        <v>46076</v>
      </c>
      <c r="C161" t="s">
        <v>42</v>
      </c>
      <c r="D161" t="s">
        <v>26</v>
      </c>
      <c r="E161" t="s">
        <v>37</v>
      </c>
      <c r="F161" t="s">
        <v>19</v>
      </c>
      <c r="G161" t="s">
        <v>62</v>
      </c>
      <c r="H161" t="s">
        <v>170</v>
      </c>
      <c r="I161" t="s">
        <v>30</v>
      </c>
      <c r="J161">
        <v>1</v>
      </c>
      <c r="K161">
        <v>24000</v>
      </c>
      <c r="L161">
        <v>0</v>
      </c>
      <c r="M161">
        <v>24000</v>
      </c>
      <c r="N161">
        <v>15000</v>
      </c>
      <c r="O161" t="s">
        <v>23</v>
      </c>
      <c r="P161" t="s">
        <v>40</v>
      </c>
    </row>
    <row r="162" spans="1:16" x14ac:dyDescent="0.25">
      <c r="A162">
        <v>100161</v>
      </c>
      <c r="B162" s="1">
        <v>46230</v>
      </c>
      <c r="C162" t="s">
        <v>50</v>
      </c>
      <c r="D162" t="s">
        <v>51</v>
      </c>
      <c r="E162" t="s">
        <v>18</v>
      </c>
      <c r="F162" t="s">
        <v>19</v>
      </c>
      <c r="G162" t="s">
        <v>20</v>
      </c>
      <c r="H162" t="s">
        <v>171</v>
      </c>
      <c r="I162" t="s">
        <v>30</v>
      </c>
      <c r="J162">
        <v>3</v>
      </c>
      <c r="K162">
        <v>58000</v>
      </c>
      <c r="L162">
        <v>0</v>
      </c>
      <c r="M162">
        <v>174000</v>
      </c>
      <c r="N162">
        <v>39000</v>
      </c>
      <c r="O162" t="s">
        <v>23</v>
      </c>
      <c r="P162" t="s">
        <v>58</v>
      </c>
    </row>
    <row r="163" spans="1:16" x14ac:dyDescent="0.25">
      <c r="A163">
        <v>100162</v>
      </c>
      <c r="B163" s="1">
        <v>46129</v>
      </c>
      <c r="C163" t="s">
        <v>50</v>
      </c>
      <c r="D163" t="s">
        <v>51</v>
      </c>
      <c r="E163" t="s">
        <v>18</v>
      </c>
      <c r="F163" t="s">
        <v>44</v>
      </c>
      <c r="G163" t="s">
        <v>60</v>
      </c>
      <c r="H163" t="s">
        <v>172</v>
      </c>
      <c r="I163" t="s">
        <v>22</v>
      </c>
      <c r="J163">
        <v>1</v>
      </c>
      <c r="K163">
        <v>9000</v>
      </c>
      <c r="L163">
        <v>0</v>
      </c>
      <c r="M163">
        <v>9000</v>
      </c>
      <c r="O163" t="s">
        <v>23</v>
      </c>
      <c r="P163" t="s">
        <v>54</v>
      </c>
    </row>
    <row r="164" spans="1:16" x14ac:dyDescent="0.25">
      <c r="A164">
        <v>100163</v>
      </c>
      <c r="B164" s="1">
        <v>46199</v>
      </c>
      <c r="C164" t="s">
        <v>35</v>
      </c>
      <c r="D164" t="s">
        <v>36</v>
      </c>
      <c r="E164" t="s">
        <v>37</v>
      </c>
      <c r="F164" t="s">
        <v>27</v>
      </c>
      <c r="G164" t="s">
        <v>38</v>
      </c>
      <c r="H164" t="s">
        <v>173</v>
      </c>
      <c r="I164" t="s">
        <v>22</v>
      </c>
      <c r="J164">
        <v>5</v>
      </c>
      <c r="K164">
        <v>26000</v>
      </c>
      <c r="L164">
        <v>0.15</v>
      </c>
      <c r="M164">
        <v>88400</v>
      </c>
      <c r="N164">
        <v>15000</v>
      </c>
      <c r="O164" t="s">
        <v>23</v>
      </c>
      <c r="P164" t="s">
        <v>47</v>
      </c>
    </row>
    <row r="165" spans="1:16" x14ac:dyDescent="0.25">
      <c r="A165">
        <v>100164</v>
      </c>
      <c r="B165" s="1">
        <v>46106</v>
      </c>
      <c r="C165" t="s">
        <v>35</v>
      </c>
      <c r="D165" t="s">
        <v>36</v>
      </c>
      <c r="E165" t="s">
        <v>37</v>
      </c>
      <c r="F165" t="s">
        <v>27</v>
      </c>
      <c r="G165" t="s">
        <v>28</v>
      </c>
      <c r="H165" t="s">
        <v>174</v>
      </c>
      <c r="I165" t="s">
        <v>30</v>
      </c>
      <c r="J165">
        <v>5</v>
      </c>
      <c r="K165">
        <v>165000</v>
      </c>
      <c r="L165">
        <v>0.05</v>
      </c>
      <c r="M165">
        <v>783750</v>
      </c>
      <c r="N165">
        <v>112000</v>
      </c>
      <c r="O165" t="s">
        <v>23</v>
      </c>
      <c r="P165" t="s">
        <v>24</v>
      </c>
    </row>
    <row r="166" spans="1:16" x14ac:dyDescent="0.25">
      <c r="A166">
        <v>100165</v>
      </c>
      <c r="B166" s="1">
        <v>46159</v>
      </c>
      <c r="C166" t="s">
        <v>25</v>
      </c>
      <c r="D166" t="s">
        <v>26</v>
      </c>
      <c r="E166" t="s">
        <v>37</v>
      </c>
      <c r="F166" t="s">
        <v>27</v>
      </c>
      <c r="G166" t="s">
        <v>28</v>
      </c>
      <c r="H166" t="s">
        <v>89</v>
      </c>
      <c r="I166" t="s">
        <v>30</v>
      </c>
      <c r="J166">
        <v>1</v>
      </c>
      <c r="K166">
        <v>165000</v>
      </c>
      <c r="L166">
        <v>0</v>
      </c>
      <c r="M166">
        <v>165000</v>
      </c>
      <c r="N166">
        <v>112000</v>
      </c>
      <c r="O166" t="s">
        <v>23</v>
      </c>
      <c r="P166" t="s">
        <v>54</v>
      </c>
    </row>
    <row r="167" spans="1:16" x14ac:dyDescent="0.25">
      <c r="A167">
        <v>100166</v>
      </c>
      <c r="B167" s="1">
        <v>46144</v>
      </c>
      <c r="C167" t="s">
        <v>25</v>
      </c>
      <c r="D167" t="s">
        <v>26</v>
      </c>
      <c r="E167" t="s">
        <v>37</v>
      </c>
      <c r="F167" t="s">
        <v>27</v>
      </c>
      <c r="G167" t="s">
        <v>33</v>
      </c>
      <c r="H167" t="s">
        <v>175</v>
      </c>
      <c r="I167" t="s">
        <v>30</v>
      </c>
      <c r="J167">
        <v>3</v>
      </c>
      <c r="K167">
        <v>32000</v>
      </c>
      <c r="L167">
        <v>0.05</v>
      </c>
      <c r="M167">
        <v>91200</v>
      </c>
      <c r="N167">
        <v>19000</v>
      </c>
      <c r="O167" t="s">
        <v>23</v>
      </c>
      <c r="P167" t="s">
        <v>84</v>
      </c>
    </row>
    <row r="168" spans="1:16" x14ac:dyDescent="0.25">
      <c r="A168">
        <v>100167</v>
      </c>
      <c r="B168" s="1">
        <v>46252</v>
      </c>
      <c r="C168" t="s">
        <v>42</v>
      </c>
      <c r="D168" t="s">
        <v>26</v>
      </c>
      <c r="E168" t="s">
        <v>18</v>
      </c>
      <c r="F168" t="s">
        <v>27</v>
      </c>
      <c r="G168" t="s">
        <v>33</v>
      </c>
      <c r="H168" t="s">
        <v>176</v>
      </c>
      <c r="I168" t="s">
        <v>22</v>
      </c>
      <c r="J168">
        <v>1</v>
      </c>
      <c r="K168">
        <v>32000</v>
      </c>
      <c r="L168">
        <v>0.1</v>
      </c>
      <c r="M168">
        <v>28800</v>
      </c>
      <c r="N168">
        <v>19000</v>
      </c>
      <c r="O168" t="s">
        <v>23</v>
      </c>
      <c r="P168" t="s">
        <v>84</v>
      </c>
    </row>
    <row r="169" spans="1:16" x14ac:dyDescent="0.25">
      <c r="A169">
        <v>100168</v>
      </c>
      <c r="B169" s="1">
        <v>46251</v>
      </c>
      <c r="C169" t="s">
        <v>35</v>
      </c>
      <c r="D169" t="s">
        <v>36</v>
      </c>
      <c r="E169" t="s">
        <v>18</v>
      </c>
      <c r="F169" t="s">
        <v>27</v>
      </c>
      <c r="G169" t="s">
        <v>33</v>
      </c>
      <c r="H169" t="s">
        <v>69</v>
      </c>
      <c r="I169" t="s">
        <v>22</v>
      </c>
      <c r="J169">
        <v>22</v>
      </c>
      <c r="K169">
        <v>32000</v>
      </c>
      <c r="L169">
        <v>0.05</v>
      </c>
      <c r="M169">
        <v>668800</v>
      </c>
      <c r="N169">
        <v>19000</v>
      </c>
      <c r="O169" t="s">
        <v>76</v>
      </c>
      <c r="P169" t="s">
        <v>24</v>
      </c>
    </row>
    <row r="170" spans="1:16" x14ac:dyDescent="0.25">
      <c r="A170">
        <v>100169</v>
      </c>
      <c r="B170" s="1">
        <v>46055</v>
      </c>
      <c r="C170" t="s">
        <v>32</v>
      </c>
      <c r="D170" t="s">
        <v>17</v>
      </c>
      <c r="E170" t="s">
        <v>18</v>
      </c>
      <c r="F170" t="s">
        <v>27</v>
      </c>
      <c r="G170" t="s">
        <v>38</v>
      </c>
      <c r="H170" t="s">
        <v>177</v>
      </c>
      <c r="I170" t="s">
        <v>30</v>
      </c>
      <c r="J170">
        <v>3</v>
      </c>
      <c r="K170">
        <v>26000</v>
      </c>
      <c r="L170">
        <v>0.15</v>
      </c>
      <c r="M170">
        <v>66300</v>
      </c>
      <c r="N170">
        <v>15000</v>
      </c>
      <c r="O170" t="s">
        <v>76</v>
      </c>
      <c r="P170" t="s">
        <v>58</v>
      </c>
    </row>
    <row r="171" spans="1:16" x14ac:dyDescent="0.25">
      <c r="A171">
        <v>100170</v>
      </c>
      <c r="B171" s="1">
        <v>46158</v>
      </c>
      <c r="C171" t="s">
        <v>42</v>
      </c>
      <c r="D171" t="s">
        <v>26</v>
      </c>
      <c r="E171" t="s">
        <v>43</v>
      </c>
      <c r="F171" t="s">
        <v>27</v>
      </c>
      <c r="G171" t="s">
        <v>38</v>
      </c>
      <c r="H171" t="s">
        <v>74</v>
      </c>
      <c r="I171" t="s">
        <v>22</v>
      </c>
      <c r="J171">
        <v>1</v>
      </c>
      <c r="K171">
        <v>26000</v>
      </c>
      <c r="L171">
        <v>0.05</v>
      </c>
      <c r="M171">
        <v>24700</v>
      </c>
      <c r="N171">
        <v>15000</v>
      </c>
      <c r="O171" t="s">
        <v>23</v>
      </c>
      <c r="P171" t="s">
        <v>64</v>
      </c>
    </row>
    <row r="172" spans="1:16" x14ac:dyDescent="0.25">
      <c r="A172">
        <v>100171</v>
      </c>
      <c r="B172" s="1">
        <v>46227</v>
      </c>
      <c r="C172" t="s">
        <v>35</v>
      </c>
      <c r="D172" t="s">
        <v>36</v>
      </c>
      <c r="E172" t="s">
        <v>37</v>
      </c>
      <c r="F172" t="s">
        <v>19</v>
      </c>
      <c r="G172" t="s">
        <v>62</v>
      </c>
      <c r="H172" t="s">
        <v>178</v>
      </c>
      <c r="I172" t="s">
        <v>30</v>
      </c>
      <c r="J172">
        <v>3</v>
      </c>
      <c r="K172">
        <v>24000</v>
      </c>
      <c r="L172">
        <v>0.15</v>
      </c>
      <c r="M172">
        <v>61200</v>
      </c>
      <c r="N172">
        <v>15000</v>
      </c>
      <c r="O172" t="s">
        <v>23</v>
      </c>
      <c r="P172" t="s">
        <v>40</v>
      </c>
    </row>
    <row r="173" spans="1:16" x14ac:dyDescent="0.25">
      <c r="A173">
        <v>100172</v>
      </c>
      <c r="B173" s="1">
        <v>46110</v>
      </c>
      <c r="C173" t="s">
        <v>50</v>
      </c>
      <c r="D173" t="s">
        <v>51</v>
      </c>
      <c r="E173" t="s">
        <v>43</v>
      </c>
      <c r="F173" t="s">
        <v>44</v>
      </c>
      <c r="G173" t="s">
        <v>65</v>
      </c>
      <c r="H173" t="s">
        <v>165</v>
      </c>
      <c r="I173" t="s">
        <v>22</v>
      </c>
      <c r="J173">
        <v>2</v>
      </c>
      <c r="K173">
        <v>28000</v>
      </c>
      <c r="L173">
        <v>0.15</v>
      </c>
      <c r="M173">
        <v>52360</v>
      </c>
      <c r="N173">
        <v>16000</v>
      </c>
      <c r="O173" t="s">
        <v>23</v>
      </c>
      <c r="P173" t="s">
        <v>58</v>
      </c>
    </row>
    <row r="174" spans="1:16" x14ac:dyDescent="0.25">
      <c r="A174">
        <v>100173</v>
      </c>
      <c r="B174" s="1">
        <v>46052</v>
      </c>
      <c r="C174" t="s">
        <v>35</v>
      </c>
      <c r="D174" t="s">
        <v>36</v>
      </c>
      <c r="E174" t="s">
        <v>37</v>
      </c>
      <c r="F174" t="s">
        <v>44</v>
      </c>
      <c r="G174" t="s">
        <v>45</v>
      </c>
      <c r="H174" t="s">
        <v>179</v>
      </c>
      <c r="I174" t="s">
        <v>30</v>
      </c>
      <c r="J174">
        <v>1</v>
      </c>
      <c r="K174">
        <v>6500</v>
      </c>
      <c r="L174">
        <v>0.1</v>
      </c>
      <c r="M174">
        <v>5850</v>
      </c>
      <c r="N174">
        <v>2200</v>
      </c>
      <c r="O174" t="s">
        <v>76</v>
      </c>
      <c r="P174" t="s">
        <v>24</v>
      </c>
    </row>
    <row r="175" spans="1:16" x14ac:dyDescent="0.25">
      <c r="A175">
        <v>100174</v>
      </c>
      <c r="B175" s="1">
        <v>46237</v>
      </c>
      <c r="C175" t="s">
        <v>25</v>
      </c>
      <c r="D175" t="s">
        <v>26</v>
      </c>
      <c r="E175" t="s">
        <v>43</v>
      </c>
      <c r="F175" t="s">
        <v>44</v>
      </c>
      <c r="G175" t="s">
        <v>45</v>
      </c>
      <c r="H175" t="s">
        <v>171</v>
      </c>
      <c r="I175" t="s">
        <v>30</v>
      </c>
      <c r="J175">
        <v>2</v>
      </c>
      <c r="K175">
        <v>6500</v>
      </c>
      <c r="L175">
        <v>0.15</v>
      </c>
      <c r="M175">
        <v>11050</v>
      </c>
      <c r="N175">
        <v>2200</v>
      </c>
      <c r="O175" t="s">
        <v>23</v>
      </c>
      <c r="P175" t="s">
        <v>84</v>
      </c>
    </row>
    <row r="176" spans="1:16" x14ac:dyDescent="0.25">
      <c r="A176">
        <v>100175</v>
      </c>
      <c r="B176" s="1">
        <v>46039</v>
      </c>
      <c r="C176" t="s">
        <v>16</v>
      </c>
      <c r="D176" t="s">
        <v>17</v>
      </c>
      <c r="E176" t="s">
        <v>43</v>
      </c>
      <c r="F176" t="s">
        <v>19</v>
      </c>
      <c r="G176" t="s">
        <v>62</v>
      </c>
      <c r="H176" t="s">
        <v>179</v>
      </c>
      <c r="I176" t="s">
        <v>30</v>
      </c>
      <c r="J176">
        <v>5</v>
      </c>
      <c r="K176">
        <v>24000</v>
      </c>
      <c r="L176">
        <v>0.25</v>
      </c>
      <c r="M176">
        <v>90000</v>
      </c>
      <c r="N176">
        <v>15000</v>
      </c>
      <c r="O176" t="s">
        <v>23</v>
      </c>
      <c r="P176" t="s">
        <v>58</v>
      </c>
    </row>
    <row r="177" spans="1:16" x14ac:dyDescent="0.25">
      <c r="A177">
        <v>100176</v>
      </c>
      <c r="B177" s="1">
        <v>46255</v>
      </c>
      <c r="C177" t="s">
        <v>50</v>
      </c>
      <c r="D177" t="s">
        <v>51</v>
      </c>
      <c r="E177" t="s">
        <v>37</v>
      </c>
      <c r="F177" t="s">
        <v>44</v>
      </c>
      <c r="G177" t="s">
        <v>60</v>
      </c>
      <c r="H177" t="s">
        <v>69</v>
      </c>
      <c r="I177" t="s">
        <v>22</v>
      </c>
      <c r="J177">
        <v>2</v>
      </c>
      <c r="K177">
        <v>9000</v>
      </c>
      <c r="L177">
        <v>0.1</v>
      </c>
      <c r="M177">
        <v>16200</v>
      </c>
      <c r="N177">
        <v>3500</v>
      </c>
      <c r="O177" t="s">
        <v>23</v>
      </c>
      <c r="P177" t="s">
        <v>64</v>
      </c>
    </row>
    <row r="178" spans="1:16" x14ac:dyDescent="0.25">
      <c r="A178">
        <v>100177</v>
      </c>
      <c r="B178" s="1">
        <v>46180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68</v>
      </c>
      <c r="I178" t="s">
        <v>22</v>
      </c>
      <c r="J178">
        <v>1</v>
      </c>
      <c r="K178">
        <v>58000</v>
      </c>
      <c r="L178">
        <v>0.2</v>
      </c>
      <c r="M178">
        <v>46400</v>
      </c>
      <c r="N178">
        <v>39000</v>
      </c>
      <c r="O178" t="s">
        <v>23</v>
      </c>
      <c r="P178" t="s">
        <v>31</v>
      </c>
    </row>
    <row r="179" spans="1:16" x14ac:dyDescent="0.25">
      <c r="A179">
        <v>100178</v>
      </c>
      <c r="B179" s="1">
        <v>46095</v>
      </c>
      <c r="C179" t="s">
        <v>35</v>
      </c>
      <c r="D179" t="s">
        <v>36</v>
      </c>
      <c r="E179" t="s">
        <v>43</v>
      </c>
      <c r="F179" t="s">
        <v>44</v>
      </c>
      <c r="G179" t="s">
        <v>45</v>
      </c>
      <c r="H179" t="s">
        <v>34</v>
      </c>
      <c r="I179" t="s">
        <v>30</v>
      </c>
      <c r="J179">
        <v>2</v>
      </c>
      <c r="K179">
        <v>6500</v>
      </c>
      <c r="L179">
        <v>0.15</v>
      </c>
      <c r="M179">
        <v>11050</v>
      </c>
      <c r="O179" t="s">
        <v>23</v>
      </c>
      <c r="P179" t="s">
        <v>40</v>
      </c>
    </row>
    <row r="180" spans="1:16" x14ac:dyDescent="0.25">
      <c r="A180">
        <v>100179</v>
      </c>
      <c r="B180" s="1">
        <v>46085</v>
      </c>
      <c r="C180" t="s">
        <v>35</v>
      </c>
      <c r="D180" t="s">
        <v>36</v>
      </c>
      <c r="E180" t="s">
        <v>43</v>
      </c>
      <c r="F180" t="s">
        <v>27</v>
      </c>
      <c r="G180" t="s">
        <v>33</v>
      </c>
      <c r="H180" t="s">
        <v>180</v>
      </c>
      <c r="I180" t="s">
        <v>30</v>
      </c>
      <c r="J180">
        <v>5</v>
      </c>
      <c r="K180">
        <v>32000</v>
      </c>
      <c r="L180">
        <v>0.15</v>
      </c>
      <c r="M180">
        <v>136000</v>
      </c>
      <c r="N180">
        <v>19000</v>
      </c>
      <c r="O180" t="s">
        <v>23</v>
      </c>
      <c r="P180" t="s">
        <v>40</v>
      </c>
    </row>
    <row r="181" spans="1:16" x14ac:dyDescent="0.25">
      <c r="A181">
        <v>100180</v>
      </c>
      <c r="B181" s="1">
        <v>46167</v>
      </c>
      <c r="C181" t="s">
        <v>42</v>
      </c>
      <c r="D181" t="s">
        <v>26</v>
      </c>
      <c r="E181" t="s">
        <v>43</v>
      </c>
      <c r="F181" t="s">
        <v>44</v>
      </c>
      <c r="G181" t="s">
        <v>65</v>
      </c>
      <c r="H181" t="s">
        <v>46</v>
      </c>
      <c r="I181" t="s">
        <v>22</v>
      </c>
      <c r="J181">
        <v>3</v>
      </c>
      <c r="K181">
        <v>28000</v>
      </c>
      <c r="L181">
        <v>0.05</v>
      </c>
      <c r="M181">
        <v>79800</v>
      </c>
      <c r="N181">
        <v>16000</v>
      </c>
      <c r="O181" t="s">
        <v>23</v>
      </c>
      <c r="P181" t="s">
        <v>24</v>
      </c>
    </row>
    <row r="182" spans="1:16" x14ac:dyDescent="0.25">
      <c r="A182">
        <v>100181</v>
      </c>
      <c r="B182" s="1">
        <v>46052</v>
      </c>
      <c r="C182" t="s">
        <v>55</v>
      </c>
      <c r="D182" t="s">
        <v>56</v>
      </c>
      <c r="E182" t="s">
        <v>37</v>
      </c>
      <c r="F182" t="s">
        <v>19</v>
      </c>
      <c r="G182" t="s">
        <v>62</v>
      </c>
      <c r="H182" t="s">
        <v>181</v>
      </c>
      <c r="I182" t="s">
        <v>30</v>
      </c>
      <c r="J182">
        <v>1</v>
      </c>
      <c r="K182">
        <v>24000</v>
      </c>
      <c r="L182">
        <v>0.1</v>
      </c>
      <c r="M182">
        <v>21600</v>
      </c>
      <c r="N182">
        <v>15000</v>
      </c>
      <c r="O182" t="s">
        <v>76</v>
      </c>
      <c r="P182" t="s">
        <v>24</v>
      </c>
    </row>
    <row r="183" spans="1:16" x14ac:dyDescent="0.25">
      <c r="A183">
        <v>100182</v>
      </c>
      <c r="B183" s="1">
        <v>46094</v>
      </c>
      <c r="C183" t="s">
        <v>32</v>
      </c>
      <c r="D183" t="s">
        <v>17</v>
      </c>
      <c r="E183" t="s">
        <v>37</v>
      </c>
      <c r="F183" t="s">
        <v>44</v>
      </c>
      <c r="G183" t="s">
        <v>65</v>
      </c>
      <c r="H183" t="s">
        <v>130</v>
      </c>
      <c r="I183" t="s">
        <v>30</v>
      </c>
      <c r="J183">
        <v>2</v>
      </c>
      <c r="K183">
        <v>28000</v>
      </c>
      <c r="L183">
        <v>0.2</v>
      </c>
      <c r="M183">
        <v>44800</v>
      </c>
      <c r="N183">
        <v>16000</v>
      </c>
      <c r="O183" t="s">
        <v>76</v>
      </c>
      <c r="P183" t="s">
        <v>31</v>
      </c>
    </row>
    <row r="184" spans="1:16" x14ac:dyDescent="0.25">
      <c r="A184">
        <v>100183</v>
      </c>
      <c r="B184" s="1">
        <v>46219</v>
      </c>
      <c r="C184" t="s">
        <v>50</v>
      </c>
      <c r="D184" t="s">
        <v>51</v>
      </c>
      <c r="E184" t="s">
        <v>43</v>
      </c>
      <c r="F184" t="s">
        <v>19</v>
      </c>
      <c r="G184" t="s">
        <v>20</v>
      </c>
      <c r="H184" t="s">
        <v>182</v>
      </c>
      <c r="I184" t="s">
        <v>30</v>
      </c>
      <c r="J184">
        <v>5</v>
      </c>
      <c r="K184">
        <v>58000</v>
      </c>
      <c r="L184">
        <v>0.15</v>
      </c>
      <c r="M184">
        <v>246500</v>
      </c>
      <c r="N184">
        <v>39000</v>
      </c>
      <c r="O184" t="s">
        <v>23</v>
      </c>
      <c r="P184" t="s">
        <v>40</v>
      </c>
    </row>
    <row r="185" spans="1:16" x14ac:dyDescent="0.25">
      <c r="A185">
        <v>100184</v>
      </c>
      <c r="B185" s="1">
        <v>46044</v>
      </c>
      <c r="C185" t="s">
        <v>42</v>
      </c>
      <c r="D185" t="s">
        <v>26</v>
      </c>
      <c r="E185" t="s">
        <v>43</v>
      </c>
      <c r="F185" t="s">
        <v>19</v>
      </c>
      <c r="G185" t="s">
        <v>52</v>
      </c>
      <c r="H185" t="s">
        <v>179</v>
      </c>
      <c r="I185" t="s">
        <v>22</v>
      </c>
      <c r="J185">
        <v>1</v>
      </c>
      <c r="K185">
        <v>42000</v>
      </c>
      <c r="L185">
        <v>0</v>
      </c>
      <c r="M185">
        <v>42000</v>
      </c>
      <c r="N185">
        <v>28000</v>
      </c>
      <c r="O185" t="s">
        <v>23</v>
      </c>
      <c r="P185" t="s">
        <v>58</v>
      </c>
    </row>
    <row r="186" spans="1:16" x14ac:dyDescent="0.25">
      <c r="A186">
        <v>100185</v>
      </c>
      <c r="B186" s="1">
        <v>46035</v>
      </c>
      <c r="C186" t="s">
        <v>32</v>
      </c>
      <c r="D186" t="s">
        <v>17</v>
      </c>
      <c r="E186" t="s">
        <v>18</v>
      </c>
      <c r="F186" t="s">
        <v>19</v>
      </c>
      <c r="G186" t="s">
        <v>52</v>
      </c>
      <c r="H186" t="s">
        <v>183</v>
      </c>
      <c r="I186" t="s">
        <v>30</v>
      </c>
      <c r="J186">
        <v>2</v>
      </c>
      <c r="K186">
        <v>42000</v>
      </c>
      <c r="L186">
        <v>0.15</v>
      </c>
      <c r="M186">
        <v>71400</v>
      </c>
      <c r="N186">
        <v>28000</v>
      </c>
      <c r="O186" t="s">
        <v>23</v>
      </c>
      <c r="P186" t="s">
        <v>31</v>
      </c>
    </row>
    <row r="187" spans="1:16" x14ac:dyDescent="0.25">
      <c r="A187">
        <v>100186</v>
      </c>
      <c r="B187" s="1">
        <v>46041</v>
      </c>
      <c r="C187" t="s">
        <v>16</v>
      </c>
      <c r="D187" t="s">
        <v>17</v>
      </c>
      <c r="E187" t="s">
        <v>37</v>
      </c>
      <c r="F187" t="s">
        <v>150</v>
      </c>
      <c r="G187" t="s">
        <v>60</v>
      </c>
      <c r="H187" t="s">
        <v>140</v>
      </c>
      <c r="I187" t="s">
        <v>22</v>
      </c>
      <c r="J187">
        <v>2</v>
      </c>
      <c r="K187">
        <v>9000</v>
      </c>
      <c r="L187">
        <v>0.05</v>
      </c>
      <c r="M187">
        <v>17100</v>
      </c>
      <c r="N187">
        <v>3500</v>
      </c>
      <c r="O187" t="s">
        <v>23</v>
      </c>
      <c r="P187" t="s">
        <v>40</v>
      </c>
    </row>
    <row r="188" spans="1:16" x14ac:dyDescent="0.25">
      <c r="A188">
        <v>100187</v>
      </c>
      <c r="B188" s="1">
        <v>46025</v>
      </c>
      <c r="C188" t="s">
        <v>35</v>
      </c>
      <c r="D188" t="s">
        <v>36</v>
      </c>
      <c r="E188" t="s">
        <v>43</v>
      </c>
      <c r="F188" t="s">
        <v>19</v>
      </c>
      <c r="G188" t="s">
        <v>20</v>
      </c>
      <c r="H188" t="s">
        <v>184</v>
      </c>
      <c r="I188" t="s">
        <v>22</v>
      </c>
      <c r="J188">
        <v>2</v>
      </c>
      <c r="K188">
        <v>58000</v>
      </c>
      <c r="L188">
        <v>0.1</v>
      </c>
      <c r="M188">
        <v>104400</v>
      </c>
      <c r="N188">
        <v>39000</v>
      </c>
      <c r="O188" t="s">
        <v>23</v>
      </c>
      <c r="P188" t="s">
        <v>64</v>
      </c>
    </row>
    <row r="189" spans="1:16" x14ac:dyDescent="0.25">
      <c r="A189">
        <v>100188</v>
      </c>
      <c r="B189" s="1">
        <v>46170</v>
      </c>
      <c r="C189" t="s">
        <v>35</v>
      </c>
      <c r="D189" t="s">
        <v>36</v>
      </c>
      <c r="E189" t="s">
        <v>37</v>
      </c>
      <c r="F189" t="s">
        <v>27</v>
      </c>
      <c r="G189" t="s">
        <v>33</v>
      </c>
      <c r="H189" t="s">
        <v>144</v>
      </c>
      <c r="I189" t="s">
        <v>22</v>
      </c>
      <c r="J189">
        <v>1</v>
      </c>
      <c r="K189">
        <v>32000</v>
      </c>
      <c r="L189">
        <v>0.1</v>
      </c>
      <c r="M189">
        <v>28800</v>
      </c>
      <c r="O189" t="s">
        <v>23</v>
      </c>
      <c r="P189" t="s">
        <v>31</v>
      </c>
    </row>
    <row r="190" spans="1:16" x14ac:dyDescent="0.25">
      <c r="A190">
        <v>100189</v>
      </c>
      <c r="B190" s="1">
        <v>46136</v>
      </c>
      <c r="C190" t="s">
        <v>16</v>
      </c>
      <c r="D190" t="s">
        <v>17</v>
      </c>
      <c r="E190" t="s">
        <v>18</v>
      </c>
      <c r="F190" t="s">
        <v>44</v>
      </c>
      <c r="G190" t="s">
        <v>45</v>
      </c>
      <c r="H190" t="s">
        <v>167</v>
      </c>
      <c r="I190" t="s">
        <v>30</v>
      </c>
      <c r="J190">
        <v>1</v>
      </c>
      <c r="K190">
        <v>6500</v>
      </c>
      <c r="L190">
        <v>0.05</v>
      </c>
      <c r="M190">
        <v>6175</v>
      </c>
      <c r="N190">
        <v>2200</v>
      </c>
      <c r="O190" t="s">
        <v>23</v>
      </c>
      <c r="P190" t="s">
        <v>24</v>
      </c>
    </row>
    <row r="191" spans="1:16" x14ac:dyDescent="0.25">
      <c r="A191">
        <v>100190</v>
      </c>
      <c r="B191" s="1">
        <v>46158</v>
      </c>
      <c r="C191" t="s">
        <v>25</v>
      </c>
      <c r="D191" t="s">
        <v>26</v>
      </c>
      <c r="E191" t="s">
        <v>18</v>
      </c>
      <c r="F191" t="s">
        <v>19</v>
      </c>
      <c r="G191" t="s">
        <v>52</v>
      </c>
      <c r="H191" t="s">
        <v>66</v>
      </c>
      <c r="I191" t="s">
        <v>30</v>
      </c>
      <c r="J191">
        <v>2</v>
      </c>
      <c r="K191">
        <v>42000</v>
      </c>
      <c r="L191">
        <v>0.15</v>
      </c>
      <c r="M191">
        <v>71400</v>
      </c>
      <c r="N191">
        <v>28000</v>
      </c>
      <c r="O191" t="s">
        <v>23</v>
      </c>
      <c r="P191" t="s">
        <v>47</v>
      </c>
    </row>
    <row r="192" spans="1:16" x14ac:dyDescent="0.25">
      <c r="A192">
        <v>100191</v>
      </c>
      <c r="B192" s="1">
        <v>46051</v>
      </c>
      <c r="C192" t="s">
        <v>50</v>
      </c>
      <c r="D192" t="s">
        <v>51</v>
      </c>
      <c r="E192" t="s">
        <v>43</v>
      </c>
      <c r="F192" t="s">
        <v>44</v>
      </c>
      <c r="G192" t="s">
        <v>45</v>
      </c>
      <c r="H192" t="s">
        <v>178</v>
      </c>
      <c r="I192" t="s">
        <v>22</v>
      </c>
      <c r="J192">
        <v>3</v>
      </c>
      <c r="K192">
        <v>6500</v>
      </c>
      <c r="L192">
        <v>0.1</v>
      </c>
      <c r="M192">
        <v>17550</v>
      </c>
      <c r="N192">
        <v>2200</v>
      </c>
      <c r="O192" t="s">
        <v>23</v>
      </c>
      <c r="P192" t="s">
        <v>58</v>
      </c>
    </row>
    <row r="193" spans="1:16" x14ac:dyDescent="0.25">
      <c r="A193">
        <v>100192</v>
      </c>
      <c r="B193" s="1">
        <v>46088</v>
      </c>
      <c r="C193" t="s">
        <v>35</v>
      </c>
      <c r="D193" t="s">
        <v>36</v>
      </c>
      <c r="E193" t="s">
        <v>37</v>
      </c>
      <c r="F193" t="s">
        <v>27</v>
      </c>
      <c r="G193" t="s">
        <v>28</v>
      </c>
      <c r="H193" t="s">
        <v>134</v>
      </c>
      <c r="I193" t="s">
        <v>30</v>
      </c>
      <c r="J193">
        <v>2</v>
      </c>
      <c r="K193">
        <v>165000</v>
      </c>
      <c r="L193">
        <v>0.1</v>
      </c>
      <c r="M193">
        <v>267300</v>
      </c>
      <c r="N193">
        <v>112000</v>
      </c>
      <c r="O193" t="s">
        <v>23</v>
      </c>
      <c r="P193" t="s">
        <v>58</v>
      </c>
    </row>
    <row r="194" spans="1:16" x14ac:dyDescent="0.25">
      <c r="A194">
        <v>100193</v>
      </c>
      <c r="B194" s="1">
        <v>46226</v>
      </c>
      <c r="C194" t="s">
        <v>55</v>
      </c>
      <c r="D194" t="s">
        <v>56</v>
      </c>
      <c r="E194" t="s">
        <v>37</v>
      </c>
      <c r="F194" t="s">
        <v>27</v>
      </c>
      <c r="G194" t="s">
        <v>38</v>
      </c>
      <c r="H194" t="s">
        <v>181</v>
      </c>
      <c r="I194" t="s">
        <v>22</v>
      </c>
      <c r="J194">
        <v>3</v>
      </c>
      <c r="K194">
        <v>26000</v>
      </c>
      <c r="L194">
        <v>0.1</v>
      </c>
      <c r="M194">
        <v>70200</v>
      </c>
      <c r="N194">
        <v>15000</v>
      </c>
      <c r="O194" t="s">
        <v>23</v>
      </c>
      <c r="P194" t="s">
        <v>47</v>
      </c>
    </row>
    <row r="195" spans="1:16" x14ac:dyDescent="0.25">
      <c r="A195">
        <v>100194</v>
      </c>
      <c r="B195" s="1">
        <v>46165</v>
      </c>
      <c r="C195" t="s">
        <v>16</v>
      </c>
      <c r="D195" t="s">
        <v>17</v>
      </c>
      <c r="E195" t="s">
        <v>18</v>
      </c>
      <c r="F195" t="s">
        <v>27</v>
      </c>
      <c r="G195" t="s">
        <v>28</v>
      </c>
      <c r="H195" t="s">
        <v>133</v>
      </c>
      <c r="I195" t="s">
        <v>30</v>
      </c>
      <c r="J195">
        <v>3</v>
      </c>
      <c r="K195">
        <v>165000</v>
      </c>
      <c r="L195">
        <v>0.25</v>
      </c>
      <c r="M195">
        <v>371250</v>
      </c>
      <c r="N195">
        <v>112000</v>
      </c>
      <c r="O195" t="s">
        <v>23</v>
      </c>
      <c r="P195" t="s">
        <v>47</v>
      </c>
    </row>
    <row r="196" spans="1:16" x14ac:dyDescent="0.25">
      <c r="A196">
        <v>100195</v>
      </c>
      <c r="B196" s="1">
        <v>46109</v>
      </c>
      <c r="C196" t="s">
        <v>55</v>
      </c>
      <c r="D196" t="s">
        <v>56</v>
      </c>
      <c r="E196" t="s">
        <v>43</v>
      </c>
      <c r="F196" t="s">
        <v>19</v>
      </c>
      <c r="G196" t="s">
        <v>62</v>
      </c>
      <c r="H196" t="s">
        <v>123</v>
      </c>
      <c r="I196" t="s">
        <v>22</v>
      </c>
      <c r="J196">
        <v>2</v>
      </c>
      <c r="K196">
        <v>24000</v>
      </c>
      <c r="L196">
        <v>0.05</v>
      </c>
      <c r="M196">
        <v>45600</v>
      </c>
      <c r="N196">
        <v>15000</v>
      </c>
      <c r="O196" t="s">
        <v>23</v>
      </c>
      <c r="P196" t="s">
        <v>64</v>
      </c>
    </row>
    <row r="197" spans="1:16" x14ac:dyDescent="0.25">
      <c r="A197">
        <v>100196</v>
      </c>
      <c r="B197" s="1">
        <v>46078</v>
      </c>
      <c r="C197" t="s">
        <v>42</v>
      </c>
      <c r="D197" t="s">
        <v>185</v>
      </c>
      <c r="E197" t="s">
        <v>43</v>
      </c>
      <c r="F197" t="s">
        <v>27</v>
      </c>
      <c r="G197" t="s">
        <v>33</v>
      </c>
      <c r="H197" t="s">
        <v>186</v>
      </c>
      <c r="I197" t="s">
        <v>30</v>
      </c>
      <c r="J197">
        <v>4</v>
      </c>
      <c r="K197">
        <v>32000</v>
      </c>
      <c r="L197">
        <v>0.1</v>
      </c>
      <c r="M197">
        <v>115200</v>
      </c>
      <c r="N197">
        <v>19000</v>
      </c>
      <c r="O197" t="s">
        <v>23</v>
      </c>
      <c r="P197" t="s">
        <v>40</v>
      </c>
    </row>
    <row r="198" spans="1:16" x14ac:dyDescent="0.25">
      <c r="A198">
        <v>100197</v>
      </c>
      <c r="B198" s="1">
        <v>46235</v>
      </c>
      <c r="C198" t="s">
        <v>32</v>
      </c>
      <c r="D198" t="s">
        <v>17</v>
      </c>
      <c r="E198" t="s">
        <v>37</v>
      </c>
      <c r="F198" t="s">
        <v>44</v>
      </c>
      <c r="G198" t="s">
        <v>60</v>
      </c>
      <c r="H198" t="s">
        <v>187</v>
      </c>
      <c r="I198" t="s">
        <v>30</v>
      </c>
      <c r="J198">
        <v>1</v>
      </c>
      <c r="K198">
        <v>9000</v>
      </c>
      <c r="L198">
        <v>0.25</v>
      </c>
      <c r="M198">
        <v>6750</v>
      </c>
      <c r="N198">
        <v>3500</v>
      </c>
      <c r="O198" t="s">
        <v>76</v>
      </c>
      <c r="P198" t="s">
        <v>31</v>
      </c>
    </row>
    <row r="199" spans="1:16" x14ac:dyDescent="0.25">
      <c r="A199">
        <v>100198</v>
      </c>
      <c r="B199" s="1">
        <v>46142</v>
      </c>
      <c r="C199" t="s">
        <v>35</v>
      </c>
      <c r="D199" t="s">
        <v>36</v>
      </c>
      <c r="E199" t="s">
        <v>37</v>
      </c>
      <c r="F199" t="s">
        <v>27</v>
      </c>
      <c r="G199" t="s">
        <v>28</v>
      </c>
      <c r="H199" t="s">
        <v>118</v>
      </c>
      <c r="I199" t="s">
        <v>30</v>
      </c>
      <c r="J199">
        <v>2</v>
      </c>
      <c r="K199">
        <v>165000</v>
      </c>
      <c r="L199">
        <v>0.05</v>
      </c>
      <c r="M199">
        <v>313500</v>
      </c>
      <c r="N199">
        <v>112000</v>
      </c>
      <c r="O199" t="s">
        <v>23</v>
      </c>
      <c r="P199" t="s">
        <v>54</v>
      </c>
    </row>
    <row r="200" spans="1:16" x14ac:dyDescent="0.25">
      <c r="A200">
        <v>100199</v>
      </c>
      <c r="B200" s="1">
        <v>46170</v>
      </c>
      <c r="C200" t="s">
        <v>50</v>
      </c>
      <c r="D200" t="s">
        <v>51</v>
      </c>
      <c r="E200" t="s">
        <v>18</v>
      </c>
      <c r="F200" t="s">
        <v>44</v>
      </c>
      <c r="G200" t="s">
        <v>65</v>
      </c>
      <c r="H200" t="s">
        <v>100</v>
      </c>
      <c r="I200" t="s">
        <v>30</v>
      </c>
      <c r="J200">
        <v>2</v>
      </c>
      <c r="K200">
        <v>28000</v>
      </c>
      <c r="L200">
        <v>0.05</v>
      </c>
      <c r="M200">
        <v>53200</v>
      </c>
      <c r="N200">
        <v>16000</v>
      </c>
      <c r="O200" t="s">
        <v>23</v>
      </c>
      <c r="P200" t="s">
        <v>58</v>
      </c>
    </row>
    <row r="201" spans="1:16" x14ac:dyDescent="0.25">
      <c r="A201">
        <v>100200</v>
      </c>
      <c r="B201" s="1">
        <v>46024</v>
      </c>
      <c r="C201" t="s">
        <v>35</v>
      </c>
      <c r="D201" t="s">
        <v>36</v>
      </c>
      <c r="E201" t="s">
        <v>43</v>
      </c>
      <c r="F201" t="s">
        <v>44</v>
      </c>
      <c r="G201" t="s">
        <v>65</v>
      </c>
      <c r="H201" t="s">
        <v>125</v>
      </c>
      <c r="I201" t="s">
        <v>30</v>
      </c>
      <c r="J201">
        <v>2</v>
      </c>
      <c r="K201">
        <v>28000</v>
      </c>
      <c r="L201">
        <v>0.05</v>
      </c>
      <c r="M201">
        <v>53200</v>
      </c>
      <c r="N201">
        <v>16000</v>
      </c>
      <c r="O201" t="s">
        <v>23</v>
      </c>
      <c r="P201" t="s">
        <v>64</v>
      </c>
    </row>
    <row r="202" spans="1:16" x14ac:dyDescent="0.25">
      <c r="A202">
        <v>100201</v>
      </c>
      <c r="B202" s="1">
        <v>46075</v>
      </c>
      <c r="C202" t="s">
        <v>35</v>
      </c>
      <c r="D202" t="s">
        <v>36</v>
      </c>
      <c r="E202" t="s">
        <v>37</v>
      </c>
      <c r="F202" t="s">
        <v>44</v>
      </c>
      <c r="G202" t="s">
        <v>45</v>
      </c>
      <c r="H202" t="s">
        <v>46</v>
      </c>
      <c r="I202" t="s">
        <v>22</v>
      </c>
      <c r="J202">
        <v>4</v>
      </c>
      <c r="K202">
        <v>6500</v>
      </c>
      <c r="L202">
        <v>0</v>
      </c>
      <c r="M202">
        <v>26000</v>
      </c>
      <c r="N202">
        <v>2200</v>
      </c>
      <c r="O202" t="s">
        <v>76</v>
      </c>
      <c r="P202" t="s">
        <v>84</v>
      </c>
    </row>
    <row r="203" spans="1:16" x14ac:dyDescent="0.25">
      <c r="A203">
        <v>100202</v>
      </c>
      <c r="B203" s="1">
        <v>46228</v>
      </c>
      <c r="C203" t="s">
        <v>32</v>
      </c>
      <c r="D203" t="s">
        <v>17</v>
      </c>
      <c r="E203" t="s">
        <v>37</v>
      </c>
      <c r="F203" t="s">
        <v>44</v>
      </c>
      <c r="G203" t="s">
        <v>45</v>
      </c>
      <c r="H203" t="s">
        <v>130</v>
      </c>
      <c r="I203" t="s">
        <v>22</v>
      </c>
      <c r="J203">
        <v>1</v>
      </c>
      <c r="K203">
        <v>6500</v>
      </c>
      <c r="L203">
        <v>0.05</v>
      </c>
      <c r="M203">
        <v>6175</v>
      </c>
      <c r="N203">
        <v>2200</v>
      </c>
      <c r="O203" t="s">
        <v>23</v>
      </c>
      <c r="P203" t="s">
        <v>54</v>
      </c>
    </row>
    <row r="204" spans="1:16" x14ac:dyDescent="0.25">
      <c r="A204">
        <v>100203</v>
      </c>
      <c r="B204" s="1">
        <v>46151</v>
      </c>
      <c r="C204" t="s">
        <v>32</v>
      </c>
      <c r="D204" t="s">
        <v>17</v>
      </c>
      <c r="E204" t="s">
        <v>43</v>
      </c>
      <c r="F204" t="s">
        <v>27</v>
      </c>
      <c r="G204" t="s">
        <v>28</v>
      </c>
      <c r="H204" t="s">
        <v>154</v>
      </c>
      <c r="I204" t="s">
        <v>30</v>
      </c>
      <c r="J204">
        <v>1</v>
      </c>
      <c r="K204">
        <v>165000</v>
      </c>
      <c r="L204">
        <v>0.25</v>
      </c>
      <c r="M204">
        <v>123750</v>
      </c>
      <c r="N204">
        <v>112000</v>
      </c>
      <c r="O204" t="s">
        <v>23</v>
      </c>
      <c r="P204" t="s">
        <v>64</v>
      </c>
    </row>
    <row r="205" spans="1:16" x14ac:dyDescent="0.25">
      <c r="A205">
        <v>100204</v>
      </c>
      <c r="B205" s="1">
        <v>46099</v>
      </c>
      <c r="C205" t="s">
        <v>16</v>
      </c>
      <c r="D205" t="s">
        <v>17</v>
      </c>
      <c r="E205" t="s">
        <v>43</v>
      </c>
      <c r="F205" t="s">
        <v>44</v>
      </c>
      <c r="G205" t="s">
        <v>60</v>
      </c>
      <c r="H205" t="s">
        <v>145</v>
      </c>
      <c r="I205" t="s">
        <v>30</v>
      </c>
      <c r="J205">
        <v>3</v>
      </c>
      <c r="K205">
        <v>9000</v>
      </c>
      <c r="L205">
        <v>0.25</v>
      </c>
      <c r="M205">
        <v>20250</v>
      </c>
      <c r="N205">
        <v>3500</v>
      </c>
      <c r="O205" t="s">
        <v>23</v>
      </c>
      <c r="P205" t="s">
        <v>54</v>
      </c>
    </row>
    <row r="206" spans="1:16" x14ac:dyDescent="0.25">
      <c r="A206">
        <v>100205</v>
      </c>
      <c r="B206" s="1">
        <v>46032</v>
      </c>
      <c r="C206" t="s">
        <v>55</v>
      </c>
      <c r="D206" t="s">
        <v>56</v>
      </c>
      <c r="E206" t="s">
        <v>37</v>
      </c>
      <c r="F206" t="s">
        <v>19</v>
      </c>
      <c r="G206" t="s">
        <v>62</v>
      </c>
      <c r="H206" t="s">
        <v>188</v>
      </c>
      <c r="I206" t="s">
        <v>22</v>
      </c>
      <c r="J206">
        <v>5</v>
      </c>
      <c r="K206">
        <v>24000</v>
      </c>
      <c r="L206">
        <v>0.1</v>
      </c>
      <c r="M206">
        <v>108000</v>
      </c>
      <c r="N206">
        <v>15000</v>
      </c>
      <c r="O206" t="s">
        <v>23</v>
      </c>
      <c r="P206" t="s">
        <v>40</v>
      </c>
    </row>
    <row r="207" spans="1:16" x14ac:dyDescent="0.25">
      <c r="A207">
        <v>100206</v>
      </c>
      <c r="B207" s="1">
        <v>46244</v>
      </c>
      <c r="C207" t="s">
        <v>42</v>
      </c>
      <c r="D207" t="s">
        <v>26</v>
      </c>
      <c r="E207" t="s">
        <v>18</v>
      </c>
      <c r="F207" t="s">
        <v>19</v>
      </c>
      <c r="G207" t="s">
        <v>20</v>
      </c>
      <c r="H207" t="s">
        <v>130</v>
      </c>
      <c r="I207" t="s">
        <v>22</v>
      </c>
      <c r="J207">
        <v>1</v>
      </c>
      <c r="K207">
        <v>58000</v>
      </c>
      <c r="L207">
        <v>0.15</v>
      </c>
      <c r="M207">
        <v>49300</v>
      </c>
      <c r="N207">
        <v>39000</v>
      </c>
      <c r="O207" t="s">
        <v>23</v>
      </c>
      <c r="P207" t="s">
        <v>84</v>
      </c>
    </row>
    <row r="208" spans="1:16" x14ac:dyDescent="0.25">
      <c r="A208">
        <v>100207</v>
      </c>
      <c r="B208" s="1">
        <v>46112</v>
      </c>
      <c r="C208" t="s">
        <v>50</v>
      </c>
      <c r="D208" t="s">
        <v>51</v>
      </c>
      <c r="E208" t="s">
        <v>43</v>
      </c>
      <c r="F208" t="s">
        <v>27</v>
      </c>
      <c r="G208" t="s">
        <v>28</v>
      </c>
      <c r="H208" t="s">
        <v>135</v>
      </c>
      <c r="I208" t="s">
        <v>30</v>
      </c>
      <c r="J208">
        <v>1</v>
      </c>
      <c r="K208">
        <v>165000</v>
      </c>
      <c r="L208">
        <v>0.1</v>
      </c>
      <c r="M208">
        <v>148500</v>
      </c>
      <c r="N208">
        <v>112000</v>
      </c>
      <c r="O208" t="s">
        <v>23</v>
      </c>
      <c r="P208" t="s">
        <v>31</v>
      </c>
    </row>
    <row r="209" spans="1:16" x14ac:dyDescent="0.25">
      <c r="A209">
        <v>100208</v>
      </c>
      <c r="B209" s="1">
        <v>46100</v>
      </c>
      <c r="C209" t="s">
        <v>16</v>
      </c>
      <c r="D209" t="s">
        <v>17</v>
      </c>
      <c r="E209" t="s">
        <v>43</v>
      </c>
      <c r="F209" t="s">
        <v>19</v>
      </c>
      <c r="G209" t="s">
        <v>20</v>
      </c>
      <c r="H209" t="s">
        <v>157</v>
      </c>
      <c r="I209" t="s">
        <v>30</v>
      </c>
      <c r="J209">
        <v>2</v>
      </c>
      <c r="K209">
        <v>58000</v>
      </c>
      <c r="L209">
        <v>0.15</v>
      </c>
      <c r="M209">
        <v>98600</v>
      </c>
      <c r="O209" t="s">
        <v>23</v>
      </c>
      <c r="P209" t="s">
        <v>31</v>
      </c>
    </row>
    <row r="210" spans="1:16" x14ac:dyDescent="0.25">
      <c r="A210">
        <v>100209</v>
      </c>
      <c r="B210" s="1">
        <v>46207</v>
      </c>
      <c r="C210" t="s">
        <v>35</v>
      </c>
      <c r="D210" t="s">
        <v>36</v>
      </c>
      <c r="E210" t="s">
        <v>43</v>
      </c>
      <c r="F210" t="s">
        <v>27</v>
      </c>
      <c r="G210" t="s">
        <v>38</v>
      </c>
      <c r="H210" t="s">
        <v>147</v>
      </c>
      <c r="I210" t="s">
        <v>30</v>
      </c>
      <c r="J210">
        <v>3</v>
      </c>
      <c r="K210">
        <v>26000</v>
      </c>
      <c r="L210">
        <v>0</v>
      </c>
      <c r="M210">
        <v>78000</v>
      </c>
      <c r="N210">
        <v>15000</v>
      </c>
      <c r="O210" t="s">
        <v>23</v>
      </c>
      <c r="P210" t="s">
        <v>31</v>
      </c>
    </row>
    <row r="211" spans="1:16" x14ac:dyDescent="0.25">
      <c r="A211">
        <v>100210</v>
      </c>
      <c r="B211" s="1">
        <v>46239</v>
      </c>
      <c r="C211" t="s">
        <v>55</v>
      </c>
      <c r="D211" t="s">
        <v>56</v>
      </c>
      <c r="E211" t="s">
        <v>43</v>
      </c>
      <c r="F211" t="s">
        <v>27</v>
      </c>
      <c r="G211" t="s">
        <v>33</v>
      </c>
      <c r="H211" t="s">
        <v>172</v>
      </c>
      <c r="I211" t="s">
        <v>30</v>
      </c>
      <c r="J211">
        <v>1</v>
      </c>
      <c r="K211">
        <v>32000</v>
      </c>
      <c r="L211">
        <v>0</v>
      </c>
      <c r="M211">
        <v>32000</v>
      </c>
      <c r="N211">
        <v>19000</v>
      </c>
      <c r="O211" t="s">
        <v>23</v>
      </c>
      <c r="P211" t="s">
        <v>40</v>
      </c>
    </row>
    <row r="212" spans="1:16" x14ac:dyDescent="0.25">
      <c r="A212">
        <v>100211</v>
      </c>
      <c r="B212" s="1">
        <v>46260</v>
      </c>
      <c r="C212" t="s">
        <v>35</v>
      </c>
      <c r="D212" t="s">
        <v>36</v>
      </c>
      <c r="E212" t="s">
        <v>43</v>
      </c>
      <c r="F212" t="s">
        <v>19</v>
      </c>
      <c r="G212" t="s">
        <v>52</v>
      </c>
      <c r="H212" t="s">
        <v>96</v>
      </c>
      <c r="I212" t="s">
        <v>30</v>
      </c>
      <c r="J212">
        <v>4</v>
      </c>
      <c r="K212">
        <v>42000</v>
      </c>
      <c r="L212">
        <v>0</v>
      </c>
      <c r="M212">
        <v>168000</v>
      </c>
      <c r="N212">
        <v>28000</v>
      </c>
      <c r="O212" t="s">
        <v>23</v>
      </c>
      <c r="P212" t="s">
        <v>54</v>
      </c>
    </row>
    <row r="213" spans="1:16" x14ac:dyDescent="0.25">
      <c r="A213">
        <v>100212</v>
      </c>
      <c r="B213" s="1">
        <v>46117</v>
      </c>
      <c r="C213" t="s">
        <v>50</v>
      </c>
      <c r="D213" t="s">
        <v>51</v>
      </c>
      <c r="E213" t="s">
        <v>37</v>
      </c>
      <c r="F213" t="s">
        <v>19</v>
      </c>
      <c r="G213" t="s">
        <v>62</v>
      </c>
      <c r="H213" t="s">
        <v>110</v>
      </c>
      <c r="I213" t="s">
        <v>30</v>
      </c>
      <c r="J213">
        <v>2</v>
      </c>
      <c r="K213">
        <v>24000</v>
      </c>
      <c r="L213">
        <v>0.15</v>
      </c>
      <c r="M213">
        <v>40800</v>
      </c>
      <c r="N213">
        <v>15000</v>
      </c>
      <c r="O213" t="s">
        <v>23</v>
      </c>
      <c r="P213" t="s">
        <v>64</v>
      </c>
    </row>
    <row r="214" spans="1:16" x14ac:dyDescent="0.25">
      <c r="A214">
        <v>100213</v>
      </c>
      <c r="B214" s="1">
        <v>46023</v>
      </c>
      <c r="C214" t="s">
        <v>16</v>
      </c>
      <c r="D214" t="s">
        <v>17</v>
      </c>
      <c r="E214" t="s">
        <v>43</v>
      </c>
      <c r="F214" t="s">
        <v>27</v>
      </c>
      <c r="G214" t="s">
        <v>28</v>
      </c>
      <c r="H214" t="s">
        <v>189</v>
      </c>
      <c r="I214" t="s">
        <v>22</v>
      </c>
      <c r="J214">
        <v>2</v>
      </c>
      <c r="K214">
        <v>165000</v>
      </c>
      <c r="L214">
        <v>0.15</v>
      </c>
      <c r="M214">
        <v>280500</v>
      </c>
      <c r="O214" t="s">
        <v>23</v>
      </c>
      <c r="P214" t="s">
        <v>54</v>
      </c>
    </row>
    <row r="215" spans="1:16" x14ac:dyDescent="0.25">
      <c r="A215">
        <v>100214</v>
      </c>
      <c r="B215" s="1">
        <v>46086</v>
      </c>
      <c r="C215" t="s">
        <v>25</v>
      </c>
      <c r="D215" t="s">
        <v>26</v>
      </c>
      <c r="E215" t="s">
        <v>43</v>
      </c>
      <c r="F215" t="s">
        <v>44</v>
      </c>
      <c r="G215" t="s">
        <v>45</v>
      </c>
      <c r="H215" t="s">
        <v>183</v>
      </c>
      <c r="I215" t="s">
        <v>22</v>
      </c>
      <c r="J215">
        <v>2</v>
      </c>
      <c r="K215">
        <v>6500</v>
      </c>
      <c r="L215">
        <v>0.05</v>
      </c>
      <c r="M215">
        <v>12350</v>
      </c>
      <c r="N215">
        <v>2200</v>
      </c>
      <c r="O215" t="s">
        <v>23</v>
      </c>
      <c r="P215" t="s">
        <v>40</v>
      </c>
    </row>
    <row r="216" spans="1:16" x14ac:dyDescent="0.25">
      <c r="A216">
        <v>100215</v>
      </c>
      <c r="B216" s="1">
        <v>46128</v>
      </c>
      <c r="C216" t="s">
        <v>35</v>
      </c>
      <c r="D216" t="s">
        <v>36</v>
      </c>
      <c r="E216" t="s">
        <v>43</v>
      </c>
      <c r="F216" t="s">
        <v>27</v>
      </c>
      <c r="G216" t="s">
        <v>38</v>
      </c>
      <c r="H216" t="s">
        <v>118</v>
      </c>
      <c r="I216" t="s">
        <v>22</v>
      </c>
      <c r="J216">
        <v>3</v>
      </c>
      <c r="K216">
        <v>26000</v>
      </c>
      <c r="L216">
        <v>0</v>
      </c>
      <c r="M216">
        <v>78000</v>
      </c>
      <c r="N216">
        <v>15000</v>
      </c>
      <c r="O216" t="s">
        <v>23</v>
      </c>
      <c r="P216" t="s">
        <v>40</v>
      </c>
    </row>
    <row r="217" spans="1:16" x14ac:dyDescent="0.25">
      <c r="A217">
        <v>100216</v>
      </c>
      <c r="B217" s="1">
        <v>46161</v>
      </c>
      <c r="C217" t="s">
        <v>25</v>
      </c>
      <c r="D217" t="s">
        <v>26</v>
      </c>
      <c r="E217" t="s">
        <v>37</v>
      </c>
      <c r="F217" t="s">
        <v>44</v>
      </c>
      <c r="G217" t="s">
        <v>45</v>
      </c>
      <c r="H217" t="s">
        <v>157</v>
      </c>
      <c r="I217" t="s">
        <v>22</v>
      </c>
      <c r="J217">
        <v>4</v>
      </c>
      <c r="K217">
        <v>6500</v>
      </c>
      <c r="L217">
        <v>0</v>
      </c>
      <c r="M217">
        <v>26000</v>
      </c>
      <c r="N217">
        <v>2200</v>
      </c>
      <c r="O217" t="s">
        <v>23</v>
      </c>
      <c r="P217" t="s">
        <v>24</v>
      </c>
    </row>
    <row r="218" spans="1:16" x14ac:dyDescent="0.25">
      <c r="A218">
        <v>100217</v>
      </c>
      <c r="B218" s="1">
        <v>46198</v>
      </c>
      <c r="C218" t="s">
        <v>42</v>
      </c>
      <c r="D218" t="s">
        <v>26</v>
      </c>
      <c r="E218" t="s">
        <v>37</v>
      </c>
      <c r="F218" t="s">
        <v>19</v>
      </c>
      <c r="G218" t="s">
        <v>62</v>
      </c>
      <c r="H218" t="s">
        <v>190</v>
      </c>
      <c r="I218" t="s">
        <v>30</v>
      </c>
      <c r="J218">
        <v>2</v>
      </c>
      <c r="K218">
        <v>24000</v>
      </c>
      <c r="L218">
        <v>0.05</v>
      </c>
      <c r="M218">
        <v>45600</v>
      </c>
      <c r="N218">
        <v>15000</v>
      </c>
      <c r="O218" t="s">
        <v>23</v>
      </c>
      <c r="P218" t="s">
        <v>54</v>
      </c>
    </row>
    <row r="219" spans="1:16" x14ac:dyDescent="0.25">
      <c r="A219">
        <v>100218</v>
      </c>
      <c r="B219" s="1">
        <v>46120</v>
      </c>
      <c r="C219" t="s">
        <v>42</v>
      </c>
      <c r="D219" t="s">
        <v>26</v>
      </c>
      <c r="E219" t="s">
        <v>18</v>
      </c>
      <c r="F219" t="s">
        <v>19</v>
      </c>
      <c r="G219" t="s">
        <v>20</v>
      </c>
      <c r="H219" t="s">
        <v>149</v>
      </c>
      <c r="I219" t="s">
        <v>22</v>
      </c>
      <c r="J219">
        <v>3</v>
      </c>
      <c r="K219">
        <v>58000</v>
      </c>
      <c r="L219">
        <v>0.05</v>
      </c>
      <c r="M219">
        <v>165300</v>
      </c>
      <c r="N219">
        <v>39000</v>
      </c>
      <c r="O219" t="s">
        <v>23</v>
      </c>
      <c r="P219" t="s">
        <v>54</v>
      </c>
    </row>
    <row r="220" spans="1:16" x14ac:dyDescent="0.25">
      <c r="A220">
        <v>100219</v>
      </c>
      <c r="B220" s="1">
        <v>46253</v>
      </c>
      <c r="C220" t="s">
        <v>55</v>
      </c>
      <c r="D220" t="s">
        <v>56</v>
      </c>
      <c r="E220" t="s">
        <v>43</v>
      </c>
      <c r="F220" t="s">
        <v>19</v>
      </c>
      <c r="G220" t="s">
        <v>20</v>
      </c>
      <c r="H220" t="s">
        <v>191</v>
      </c>
      <c r="I220" t="s">
        <v>30</v>
      </c>
      <c r="J220">
        <v>5</v>
      </c>
      <c r="K220">
        <v>58000</v>
      </c>
      <c r="L220">
        <v>0.15</v>
      </c>
      <c r="M220">
        <v>246500</v>
      </c>
      <c r="N220">
        <v>39000</v>
      </c>
      <c r="O220" t="s">
        <v>23</v>
      </c>
      <c r="P220" t="s">
        <v>40</v>
      </c>
    </row>
    <row r="221" spans="1:16" x14ac:dyDescent="0.25">
      <c r="A221">
        <v>100220</v>
      </c>
      <c r="B221" s="1">
        <v>46024</v>
      </c>
      <c r="C221" t="s">
        <v>35</v>
      </c>
      <c r="D221" t="s">
        <v>36</v>
      </c>
      <c r="E221" t="s">
        <v>18</v>
      </c>
      <c r="F221" t="s">
        <v>27</v>
      </c>
      <c r="G221" t="s">
        <v>38</v>
      </c>
      <c r="H221" t="s">
        <v>124</v>
      </c>
      <c r="I221" t="s">
        <v>30</v>
      </c>
      <c r="J221">
        <v>2</v>
      </c>
      <c r="K221">
        <v>26000</v>
      </c>
      <c r="L221">
        <v>0</v>
      </c>
      <c r="M221">
        <v>52000</v>
      </c>
      <c r="N221">
        <v>15000</v>
      </c>
      <c r="O221" t="s">
        <v>23</v>
      </c>
      <c r="P221" t="s">
        <v>24</v>
      </c>
    </row>
    <row r="222" spans="1:16" x14ac:dyDescent="0.25">
      <c r="A222">
        <v>100221</v>
      </c>
      <c r="B222" s="1">
        <v>46111</v>
      </c>
      <c r="C222" t="s">
        <v>50</v>
      </c>
      <c r="D222" t="s">
        <v>51</v>
      </c>
      <c r="E222" t="s">
        <v>43</v>
      </c>
      <c r="F222" t="s">
        <v>44</v>
      </c>
      <c r="G222" t="s">
        <v>65</v>
      </c>
      <c r="H222" t="s">
        <v>159</v>
      </c>
      <c r="I222" t="s">
        <v>30</v>
      </c>
      <c r="J222">
        <v>3</v>
      </c>
      <c r="K222">
        <v>28000</v>
      </c>
      <c r="L222">
        <v>0.1</v>
      </c>
      <c r="M222">
        <v>75600</v>
      </c>
      <c r="N222">
        <v>16000</v>
      </c>
      <c r="O222" t="s">
        <v>23</v>
      </c>
      <c r="P222" t="s">
        <v>54</v>
      </c>
    </row>
    <row r="223" spans="1:16" x14ac:dyDescent="0.25">
      <c r="A223">
        <v>100222</v>
      </c>
      <c r="B223" s="1">
        <v>46255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H223" t="s">
        <v>192</v>
      </c>
      <c r="I223" t="s">
        <v>22</v>
      </c>
      <c r="J223">
        <v>3</v>
      </c>
      <c r="K223">
        <v>58000</v>
      </c>
      <c r="L223">
        <v>0.25</v>
      </c>
      <c r="M223">
        <v>130500</v>
      </c>
      <c r="O223" t="s">
        <v>76</v>
      </c>
      <c r="P223" t="s">
        <v>64</v>
      </c>
    </row>
    <row r="224" spans="1:16" x14ac:dyDescent="0.25">
      <c r="A224">
        <v>100223</v>
      </c>
      <c r="B224" s="1">
        <v>46165</v>
      </c>
      <c r="C224" t="s">
        <v>55</v>
      </c>
      <c r="D224" t="s">
        <v>56</v>
      </c>
      <c r="E224" t="s">
        <v>18</v>
      </c>
      <c r="F224" t="s">
        <v>19</v>
      </c>
      <c r="G224" t="s">
        <v>52</v>
      </c>
      <c r="H224" t="s">
        <v>193</v>
      </c>
      <c r="I224" t="s">
        <v>30</v>
      </c>
      <c r="J224">
        <v>3</v>
      </c>
      <c r="K224">
        <v>42000</v>
      </c>
      <c r="L224">
        <v>0.15</v>
      </c>
      <c r="M224">
        <v>107100</v>
      </c>
      <c r="N224">
        <v>28000</v>
      </c>
      <c r="O224" t="s">
        <v>23</v>
      </c>
      <c r="P224" t="s">
        <v>58</v>
      </c>
    </row>
    <row r="225" spans="1:16" x14ac:dyDescent="0.25">
      <c r="A225">
        <v>100224</v>
      </c>
      <c r="B225" s="1">
        <v>46149</v>
      </c>
      <c r="C225" t="s">
        <v>42</v>
      </c>
      <c r="D225" t="s">
        <v>26</v>
      </c>
      <c r="E225" t="s">
        <v>37</v>
      </c>
      <c r="F225" t="s">
        <v>27</v>
      </c>
      <c r="G225" t="s">
        <v>33</v>
      </c>
      <c r="H225" t="s">
        <v>175</v>
      </c>
      <c r="I225" t="s">
        <v>30</v>
      </c>
      <c r="J225">
        <v>1</v>
      </c>
      <c r="K225">
        <v>32000</v>
      </c>
      <c r="L225">
        <v>0.1</v>
      </c>
      <c r="M225">
        <v>28800</v>
      </c>
      <c r="N225">
        <v>19000</v>
      </c>
      <c r="O225" t="s">
        <v>23</v>
      </c>
      <c r="P225" t="s">
        <v>40</v>
      </c>
    </row>
    <row r="226" spans="1:16" x14ac:dyDescent="0.25">
      <c r="A226">
        <v>100225</v>
      </c>
      <c r="B226" s="1">
        <v>46079</v>
      </c>
      <c r="C226" t="s">
        <v>35</v>
      </c>
      <c r="D226" t="s">
        <v>36</v>
      </c>
      <c r="E226" t="s">
        <v>37</v>
      </c>
      <c r="F226" t="s">
        <v>19</v>
      </c>
      <c r="G226" t="s">
        <v>62</v>
      </c>
      <c r="H226" t="s">
        <v>194</v>
      </c>
      <c r="I226" t="s">
        <v>22</v>
      </c>
      <c r="J226">
        <v>1</v>
      </c>
      <c r="K226">
        <v>24000</v>
      </c>
      <c r="L226">
        <v>0.05</v>
      </c>
      <c r="M226">
        <v>22800</v>
      </c>
      <c r="N226">
        <v>15000</v>
      </c>
      <c r="O226" t="s">
        <v>23</v>
      </c>
      <c r="P226" t="s">
        <v>31</v>
      </c>
    </row>
    <row r="227" spans="1:16" x14ac:dyDescent="0.25">
      <c r="A227">
        <v>100226</v>
      </c>
      <c r="B227" s="1">
        <v>46054</v>
      </c>
      <c r="C227" t="s">
        <v>50</v>
      </c>
      <c r="D227" t="s">
        <v>51</v>
      </c>
      <c r="E227" t="s">
        <v>43</v>
      </c>
      <c r="F227" t="s">
        <v>19</v>
      </c>
      <c r="G227" t="s">
        <v>62</v>
      </c>
      <c r="H227" t="s">
        <v>117</v>
      </c>
      <c r="I227" t="s">
        <v>30</v>
      </c>
      <c r="J227">
        <v>1</v>
      </c>
      <c r="K227">
        <v>24000</v>
      </c>
      <c r="L227">
        <v>0.05</v>
      </c>
      <c r="M227">
        <v>22800</v>
      </c>
      <c r="N227">
        <v>15000</v>
      </c>
      <c r="O227" t="s">
        <v>23</v>
      </c>
      <c r="P227" t="s">
        <v>54</v>
      </c>
    </row>
    <row r="228" spans="1:16" x14ac:dyDescent="0.25">
      <c r="A228">
        <v>100227</v>
      </c>
      <c r="B228" s="1">
        <v>46114</v>
      </c>
      <c r="C228" t="s">
        <v>55</v>
      </c>
      <c r="D228" t="s">
        <v>56</v>
      </c>
      <c r="E228" t="s">
        <v>43</v>
      </c>
      <c r="F228" t="s">
        <v>19</v>
      </c>
      <c r="G228" t="s">
        <v>20</v>
      </c>
      <c r="H228" t="s">
        <v>195</v>
      </c>
      <c r="I228" t="s">
        <v>30</v>
      </c>
      <c r="J228">
        <v>2</v>
      </c>
      <c r="K228">
        <v>58000</v>
      </c>
      <c r="L228">
        <v>0</v>
      </c>
      <c r="M228">
        <v>116000</v>
      </c>
      <c r="N228">
        <v>39000</v>
      </c>
      <c r="O228" t="s">
        <v>23</v>
      </c>
      <c r="P228" t="s">
        <v>84</v>
      </c>
    </row>
    <row r="229" spans="1:16" x14ac:dyDescent="0.25">
      <c r="A229">
        <v>100228</v>
      </c>
      <c r="B229" s="1">
        <v>46099</v>
      </c>
      <c r="C229" t="s">
        <v>25</v>
      </c>
      <c r="D229" t="s">
        <v>26</v>
      </c>
      <c r="E229" t="s">
        <v>43</v>
      </c>
      <c r="F229" t="s">
        <v>27</v>
      </c>
      <c r="G229" t="s">
        <v>33</v>
      </c>
      <c r="H229" t="s">
        <v>59</v>
      </c>
      <c r="I229" t="s">
        <v>22</v>
      </c>
      <c r="J229">
        <v>3</v>
      </c>
      <c r="K229">
        <v>32000</v>
      </c>
      <c r="L229">
        <v>0.15</v>
      </c>
      <c r="M229">
        <v>81600</v>
      </c>
      <c r="N229">
        <v>19000</v>
      </c>
      <c r="O229" t="s">
        <v>23</v>
      </c>
      <c r="P229" t="s">
        <v>24</v>
      </c>
    </row>
    <row r="230" spans="1:16" x14ac:dyDescent="0.25">
      <c r="A230">
        <v>100229</v>
      </c>
      <c r="B230" s="1">
        <v>46212</v>
      </c>
      <c r="C230" t="s">
        <v>35</v>
      </c>
      <c r="D230" t="s">
        <v>36</v>
      </c>
      <c r="E230" t="s">
        <v>37</v>
      </c>
      <c r="F230" t="s">
        <v>19</v>
      </c>
      <c r="G230" t="s">
        <v>20</v>
      </c>
      <c r="H230" t="s">
        <v>194</v>
      </c>
      <c r="I230" t="s">
        <v>30</v>
      </c>
      <c r="J230">
        <v>1</v>
      </c>
      <c r="K230">
        <v>58000</v>
      </c>
      <c r="L230">
        <v>0.1</v>
      </c>
      <c r="M230">
        <v>52200</v>
      </c>
      <c r="N230">
        <v>39000</v>
      </c>
      <c r="O230" t="s">
        <v>23</v>
      </c>
      <c r="P230" t="s">
        <v>24</v>
      </c>
    </row>
    <row r="231" spans="1:16" x14ac:dyDescent="0.25">
      <c r="A231">
        <v>100230</v>
      </c>
      <c r="B231" s="1">
        <v>46141</v>
      </c>
      <c r="C231" t="s">
        <v>35</v>
      </c>
      <c r="D231" t="s">
        <v>36</v>
      </c>
      <c r="E231" t="s">
        <v>43</v>
      </c>
      <c r="F231" t="s">
        <v>27</v>
      </c>
      <c r="G231" t="s">
        <v>38</v>
      </c>
      <c r="H231" t="s">
        <v>109</v>
      </c>
      <c r="I231" t="s">
        <v>30</v>
      </c>
      <c r="J231">
        <v>3</v>
      </c>
      <c r="K231">
        <v>26000</v>
      </c>
      <c r="L231">
        <v>0.15</v>
      </c>
      <c r="M231">
        <v>66300</v>
      </c>
      <c r="N231">
        <v>15000</v>
      </c>
      <c r="O231" t="s">
        <v>23</v>
      </c>
      <c r="P231" t="s">
        <v>84</v>
      </c>
    </row>
    <row r="232" spans="1:16" x14ac:dyDescent="0.25">
      <c r="A232">
        <v>100231</v>
      </c>
      <c r="B232" s="1">
        <v>46109</v>
      </c>
      <c r="C232" t="s">
        <v>32</v>
      </c>
      <c r="D232" t="s">
        <v>17</v>
      </c>
      <c r="E232" t="s">
        <v>18</v>
      </c>
      <c r="F232" t="s">
        <v>27</v>
      </c>
      <c r="G232" t="s">
        <v>28</v>
      </c>
      <c r="H232" t="s">
        <v>196</v>
      </c>
      <c r="I232" t="s">
        <v>30</v>
      </c>
      <c r="J232">
        <v>1</v>
      </c>
      <c r="K232">
        <v>165000</v>
      </c>
      <c r="L232">
        <v>0.2</v>
      </c>
      <c r="M232">
        <v>132000</v>
      </c>
      <c r="N232">
        <v>112000</v>
      </c>
      <c r="O232" t="s">
        <v>23</v>
      </c>
      <c r="P232" t="s">
        <v>40</v>
      </c>
    </row>
    <row r="233" spans="1:16" x14ac:dyDescent="0.25">
      <c r="A233">
        <v>100232</v>
      </c>
      <c r="B233" s="1">
        <v>46237</v>
      </c>
      <c r="C233" t="s">
        <v>25</v>
      </c>
      <c r="D233" t="s">
        <v>26</v>
      </c>
      <c r="E233" t="s">
        <v>43</v>
      </c>
      <c r="F233" t="s">
        <v>27</v>
      </c>
      <c r="G233" t="s">
        <v>28</v>
      </c>
      <c r="H233" t="s">
        <v>59</v>
      </c>
      <c r="I233" t="s">
        <v>22</v>
      </c>
      <c r="J233">
        <v>1</v>
      </c>
      <c r="K233">
        <v>165000</v>
      </c>
      <c r="L233">
        <v>0.1</v>
      </c>
      <c r="M233">
        <v>148500</v>
      </c>
      <c r="N233">
        <v>112000</v>
      </c>
      <c r="O233" t="s">
        <v>76</v>
      </c>
      <c r="P233" t="s">
        <v>58</v>
      </c>
    </row>
    <row r="234" spans="1:16" x14ac:dyDescent="0.25">
      <c r="A234">
        <v>100233</v>
      </c>
      <c r="B234" s="1">
        <v>46030</v>
      </c>
      <c r="C234" t="s">
        <v>50</v>
      </c>
      <c r="D234" t="s">
        <v>51</v>
      </c>
      <c r="E234" t="s">
        <v>43</v>
      </c>
      <c r="F234" t="s">
        <v>44</v>
      </c>
      <c r="G234" t="s">
        <v>60</v>
      </c>
      <c r="H234" t="s">
        <v>130</v>
      </c>
      <c r="I234" t="s">
        <v>30</v>
      </c>
      <c r="J234">
        <v>3</v>
      </c>
      <c r="K234">
        <v>9000</v>
      </c>
      <c r="L234">
        <v>0.15</v>
      </c>
      <c r="M234">
        <v>27540</v>
      </c>
      <c r="N234">
        <v>3500</v>
      </c>
      <c r="O234" t="s">
        <v>23</v>
      </c>
      <c r="P234" t="s">
        <v>58</v>
      </c>
    </row>
    <row r="235" spans="1:16" x14ac:dyDescent="0.25">
      <c r="A235">
        <v>100234</v>
      </c>
      <c r="B235" s="1">
        <v>46043</v>
      </c>
      <c r="C235" t="s">
        <v>35</v>
      </c>
      <c r="D235" t="s">
        <v>36</v>
      </c>
      <c r="E235" t="s">
        <v>37</v>
      </c>
      <c r="F235" t="s">
        <v>44</v>
      </c>
      <c r="G235" t="s">
        <v>60</v>
      </c>
      <c r="H235" t="s">
        <v>148</v>
      </c>
      <c r="I235" t="s">
        <v>22</v>
      </c>
      <c r="J235">
        <v>2</v>
      </c>
      <c r="K235">
        <v>9000</v>
      </c>
      <c r="L235">
        <v>0.1</v>
      </c>
      <c r="M235">
        <v>16200</v>
      </c>
      <c r="N235">
        <v>3500</v>
      </c>
      <c r="O235" t="s">
        <v>23</v>
      </c>
      <c r="P235" t="s">
        <v>47</v>
      </c>
    </row>
    <row r="236" spans="1:16" x14ac:dyDescent="0.25">
      <c r="A236">
        <v>100235</v>
      </c>
      <c r="B236" s="1">
        <v>46164</v>
      </c>
      <c r="C236" t="s">
        <v>50</v>
      </c>
      <c r="D236" t="s">
        <v>51</v>
      </c>
      <c r="E236" t="s">
        <v>18</v>
      </c>
      <c r="F236" t="s">
        <v>19</v>
      </c>
      <c r="G236" t="s">
        <v>62</v>
      </c>
      <c r="H236" t="s">
        <v>197</v>
      </c>
      <c r="I236" t="s">
        <v>22</v>
      </c>
      <c r="J236">
        <v>2</v>
      </c>
      <c r="K236">
        <v>24000</v>
      </c>
      <c r="L236">
        <v>0.1</v>
      </c>
      <c r="M236">
        <v>38880</v>
      </c>
      <c r="N236">
        <v>15000</v>
      </c>
      <c r="O236" t="s">
        <v>23</v>
      </c>
      <c r="P236" t="s">
        <v>84</v>
      </c>
    </row>
    <row r="237" spans="1:16" x14ac:dyDescent="0.25">
      <c r="A237">
        <v>100236</v>
      </c>
      <c r="B237" s="1">
        <v>46091</v>
      </c>
      <c r="C237" t="s">
        <v>35</v>
      </c>
      <c r="D237" t="s">
        <v>36</v>
      </c>
      <c r="E237" t="s">
        <v>43</v>
      </c>
      <c r="F237" t="s">
        <v>44</v>
      </c>
      <c r="G237" t="s">
        <v>45</v>
      </c>
      <c r="H237" t="s">
        <v>145</v>
      </c>
      <c r="I237" t="s">
        <v>30</v>
      </c>
      <c r="J237">
        <v>3</v>
      </c>
      <c r="K237">
        <v>6500</v>
      </c>
      <c r="L237">
        <v>0.1</v>
      </c>
      <c r="M237">
        <v>17550</v>
      </c>
      <c r="N237">
        <v>2200</v>
      </c>
      <c r="O237" t="s">
        <v>23</v>
      </c>
      <c r="P237" t="s">
        <v>40</v>
      </c>
    </row>
    <row r="238" spans="1:16" x14ac:dyDescent="0.25">
      <c r="A238">
        <v>100237</v>
      </c>
      <c r="B238" s="1">
        <v>46186</v>
      </c>
      <c r="C238" t="s">
        <v>25</v>
      </c>
      <c r="D238" t="s">
        <v>26</v>
      </c>
      <c r="E238" t="s">
        <v>43</v>
      </c>
      <c r="F238" t="s">
        <v>27</v>
      </c>
      <c r="G238" t="s">
        <v>38</v>
      </c>
      <c r="H238" t="s">
        <v>198</v>
      </c>
      <c r="I238" t="s">
        <v>22</v>
      </c>
      <c r="J238">
        <v>4</v>
      </c>
      <c r="K238">
        <v>26000</v>
      </c>
      <c r="L238">
        <v>0.1</v>
      </c>
      <c r="M238">
        <v>93600</v>
      </c>
      <c r="N238">
        <v>15000</v>
      </c>
      <c r="O238" t="s">
        <v>23</v>
      </c>
      <c r="P238" t="s">
        <v>64</v>
      </c>
    </row>
    <row r="239" spans="1:16" x14ac:dyDescent="0.25">
      <c r="A239">
        <v>100238</v>
      </c>
      <c r="B239" s="1">
        <v>46033</v>
      </c>
      <c r="C239" t="s">
        <v>55</v>
      </c>
      <c r="D239" t="s">
        <v>56</v>
      </c>
      <c r="E239" t="s">
        <v>37</v>
      </c>
      <c r="F239" t="s">
        <v>19</v>
      </c>
      <c r="G239" t="s">
        <v>62</v>
      </c>
      <c r="H239" t="s">
        <v>199</v>
      </c>
      <c r="I239" t="s">
        <v>22</v>
      </c>
      <c r="J239">
        <v>2</v>
      </c>
      <c r="K239">
        <v>24000</v>
      </c>
      <c r="L239">
        <v>0</v>
      </c>
      <c r="M239">
        <v>48000</v>
      </c>
      <c r="N239">
        <v>15000</v>
      </c>
      <c r="O239" t="s">
        <v>23</v>
      </c>
      <c r="P239" t="s">
        <v>47</v>
      </c>
    </row>
    <row r="240" spans="1:16" x14ac:dyDescent="0.25">
      <c r="A240">
        <v>100239</v>
      </c>
      <c r="B240" s="1">
        <v>46187</v>
      </c>
      <c r="C240" t="s">
        <v>55</v>
      </c>
      <c r="D240" t="s">
        <v>56</v>
      </c>
      <c r="E240" t="s">
        <v>18</v>
      </c>
      <c r="F240" t="s">
        <v>27</v>
      </c>
      <c r="G240" t="s">
        <v>28</v>
      </c>
      <c r="H240" t="s">
        <v>200</v>
      </c>
      <c r="I240" t="s">
        <v>30</v>
      </c>
      <c r="J240">
        <v>1</v>
      </c>
      <c r="K240">
        <v>165000</v>
      </c>
      <c r="L240">
        <v>0.15</v>
      </c>
      <c r="M240">
        <v>140250</v>
      </c>
      <c r="N240">
        <v>112000</v>
      </c>
      <c r="O240" t="s">
        <v>23</v>
      </c>
      <c r="P240" t="s">
        <v>24</v>
      </c>
    </row>
    <row r="241" spans="1:16" x14ac:dyDescent="0.25">
      <c r="A241">
        <v>100240</v>
      </c>
      <c r="B241" s="1">
        <v>46038</v>
      </c>
      <c r="C241" t="s">
        <v>25</v>
      </c>
      <c r="D241" t="s">
        <v>26</v>
      </c>
      <c r="E241" t="s">
        <v>37</v>
      </c>
      <c r="F241" t="s">
        <v>27</v>
      </c>
      <c r="G241" t="s">
        <v>38</v>
      </c>
      <c r="H241" t="s">
        <v>80</v>
      </c>
      <c r="I241" t="s">
        <v>22</v>
      </c>
      <c r="J241">
        <v>3</v>
      </c>
      <c r="K241">
        <v>26000</v>
      </c>
      <c r="L241">
        <v>0.15</v>
      </c>
      <c r="M241">
        <v>66300</v>
      </c>
      <c r="N241">
        <v>15000</v>
      </c>
      <c r="O241" t="s">
        <v>23</v>
      </c>
      <c r="P241" t="s">
        <v>24</v>
      </c>
    </row>
    <row r="242" spans="1:16" x14ac:dyDescent="0.25">
      <c r="A242">
        <v>100241</v>
      </c>
      <c r="B242" s="1">
        <v>46084</v>
      </c>
      <c r="C242" t="s">
        <v>42</v>
      </c>
      <c r="D242" t="s">
        <v>26</v>
      </c>
      <c r="E242" t="s">
        <v>37</v>
      </c>
      <c r="F242" t="s">
        <v>44</v>
      </c>
      <c r="G242" t="s">
        <v>45</v>
      </c>
      <c r="H242" t="s">
        <v>176</v>
      </c>
      <c r="I242" t="s">
        <v>30</v>
      </c>
      <c r="J242">
        <v>4</v>
      </c>
      <c r="K242">
        <v>6500</v>
      </c>
      <c r="L242">
        <v>0.1</v>
      </c>
      <c r="M242">
        <v>23400</v>
      </c>
      <c r="N242">
        <v>2200</v>
      </c>
      <c r="O242" t="s">
        <v>23</v>
      </c>
      <c r="P242" t="s">
        <v>40</v>
      </c>
    </row>
    <row r="243" spans="1:16" x14ac:dyDescent="0.25">
      <c r="A243">
        <v>100242</v>
      </c>
      <c r="B243" s="1">
        <v>46090</v>
      </c>
      <c r="C243" t="s">
        <v>35</v>
      </c>
      <c r="D243" t="s">
        <v>36</v>
      </c>
      <c r="E243" t="s">
        <v>43</v>
      </c>
      <c r="F243" t="s">
        <v>19</v>
      </c>
      <c r="G243" t="s">
        <v>62</v>
      </c>
      <c r="H243" t="s">
        <v>201</v>
      </c>
      <c r="I243" t="s">
        <v>22</v>
      </c>
      <c r="J243">
        <v>2</v>
      </c>
      <c r="K243">
        <v>24000</v>
      </c>
      <c r="L243">
        <v>0.1</v>
      </c>
      <c r="M243">
        <v>43200</v>
      </c>
      <c r="N243">
        <v>15000</v>
      </c>
      <c r="O243" t="s">
        <v>76</v>
      </c>
      <c r="P243" t="s">
        <v>31</v>
      </c>
    </row>
    <row r="244" spans="1:16" x14ac:dyDescent="0.25">
      <c r="A244">
        <v>100243</v>
      </c>
      <c r="B244" s="1">
        <v>46219</v>
      </c>
      <c r="C244" t="s">
        <v>25</v>
      </c>
      <c r="D244" t="s">
        <v>26</v>
      </c>
      <c r="E244" t="s">
        <v>37</v>
      </c>
      <c r="F244" t="s">
        <v>19</v>
      </c>
      <c r="G244" t="s">
        <v>62</v>
      </c>
      <c r="H244" t="s">
        <v>175</v>
      </c>
      <c r="I244" t="s">
        <v>22</v>
      </c>
      <c r="J244">
        <v>5</v>
      </c>
      <c r="K244">
        <v>24000</v>
      </c>
      <c r="L244">
        <v>0.1</v>
      </c>
      <c r="M244">
        <v>108000</v>
      </c>
      <c r="N244">
        <v>15000</v>
      </c>
      <c r="O244" t="s">
        <v>23</v>
      </c>
      <c r="P244" t="s">
        <v>54</v>
      </c>
    </row>
    <row r="245" spans="1:16" x14ac:dyDescent="0.25">
      <c r="A245">
        <v>100244</v>
      </c>
      <c r="B245" s="1">
        <v>46051</v>
      </c>
      <c r="C245" t="s">
        <v>35</v>
      </c>
      <c r="D245" t="s">
        <v>36</v>
      </c>
      <c r="E245" t="s">
        <v>18</v>
      </c>
      <c r="F245" t="s">
        <v>27</v>
      </c>
      <c r="G245" t="s">
        <v>38</v>
      </c>
      <c r="H245" t="s">
        <v>202</v>
      </c>
      <c r="I245" t="s">
        <v>30</v>
      </c>
      <c r="J245">
        <v>3</v>
      </c>
      <c r="K245">
        <v>26000</v>
      </c>
      <c r="L245">
        <v>0.05</v>
      </c>
      <c r="M245">
        <v>74100</v>
      </c>
      <c r="N245">
        <v>15000</v>
      </c>
      <c r="O245" t="s">
        <v>23</v>
      </c>
      <c r="P245" t="s">
        <v>31</v>
      </c>
    </row>
    <row r="246" spans="1:16" x14ac:dyDescent="0.25">
      <c r="A246">
        <v>100245</v>
      </c>
      <c r="B246" s="1">
        <v>46199</v>
      </c>
      <c r="C246" t="s">
        <v>42</v>
      </c>
      <c r="D246" t="s">
        <v>26</v>
      </c>
      <c r="E246" t="s">
        <v>37</v>
      </c>
      <c r="F246" t="s">
        <v>44</v>
      </c>
      <c r="G246" t="s">
        <v>65</v>
      </c>
      <c r="H246" t="s">
        <v>82</v>
      </c>
      <c r="I246" t="s">
        <v>22</v>
      </c>
      <c r="J246">
        <v>1</v>
      </c>
      <c r="K246">
        <v>28000</v>
      </c>
      <c r="L246">
        <v>0.15</v>
      </c>
      <c r="M246">
        <v>23800</v>
      </c>
      <c r="N246">
        <v>16000</v>
      </c>
      <c r="O246" t="s">
        <v>23</v>
      </c>
      <c r="P246" t="s">
        <v>47</v>
      </c>
    </row>
    <row r="247" spans="1:16" x14ac:dyDescent="0.25">
      <c r="A247">
        <v>100246</v>
      </c>
      <c r="B247" s="1">
        <v>46231</v>
      </c>
      <c r="C247" t="s">
        <v>35</v>
      </c>
      <c r="D247" t="s">
        <v>36</v>
      </c>
      <c r="E247" t="s">
        <v>43</v>
      </c>
      <c r="F247" t="s">
        <v>27</v>
      </c>
      <c r="G247" t="s">
        <v>28</v>
      </c>
      <c r="H247" t="s">
        <v>112</v>
      </c>
      <c r="I247" t="s">
        <v>22</v>
      </c>
      <c r="J247">
        <v>1</v>
      </c>
      <c r="K247">
        <v>165000</v>
      </c>
      <c r="L247">
        <v>0.05</v>
      </c>
      <c r="M247">
        <v>156750</v>
      </c>
      <c r="N247">
        <v>112000</v>
      </c>
      <c r="O247" t="s">
        <v>23</v>
      </c>
      <c r="P247" t="s">
        <v>24</v>
      </c>
    </row>
    <row r="248" spans="1:16" x14ac:dyDescent="0.25">
      <c r="A248">
        <v>100247</v>
      </c>
      <c r="B248" s="1">
        <v>46237</v>
      </c>
      <c r="C248" t="s">
        <v>32</v>
      </c>
      <c r="D248" t="s">
        <v>17</v>
      </c>
      <c r="E248" t="s">
        <v>43</v>
      </c>
      <c r="F248" t="s">
        <v>19</v>
      </c>
      <c r="G248" t="s">
        <v>62</v>
      </c>
      <c r="H248" t="s">
        <v>92</v>
      </c>
      <c r="I248" t="s">
        <v>30</v>
      </c>
      <c r="J248">
        <v>2</v>
      </c>
      <c r="K248">
        <v>24000</v>
      </c>
      <c r="L248">
        <v>0.2</v>
      </c>
      <c r="M248">
        <v>38400</v>
      </c>
      <c r="O248" t="s">
        <v>23</v>
      </c>
      <c r="P248" t="s">
        <v>40</v>
      </c>
    </row>
    <row r="249" spans="1:16" x14ac:dyDescent="0.25">
      <c r="A249">
        <v>100248</v>
      </c>
      <c r="B249" s="1">
        <v>46225</v>
      </c>
      <c r="C249" t="s">
        <v>25</v>
      </c>
      <c r="D249" t="s">
        <v>26</v>
      </c>
      <c r="E249" t="s">
        <v>43</v>
      </c>
      <c r="F249" t="s">
        <v>44</v>
      </c>
      <c r="G249" t="s">
        <v>45</v>
      </c>
      <c r="H249" t="s">
        <v>203</v>
      </c>
      <c r="I249" t="s">
        <v>30</v>
      </c>
      <c r="J249">
        <v>1</v>
      </c>
      <c r="K249">
        <v>6500</v>
      </c>
      <c r="L249">
        <v>0.05</v>
      </c>
      <c r="M249">
        <v>6175</v>
      </c>
      <c r="N249">
        <v>2200</v>
      </c>
      <c r="O249" t="s">
        <v>23</v>
      </c>
      <c r="P249" t="s">
        <v>64</v>
      </c>
    </row>
    <row r="250" spans="1:16" x14ac:dyDescent="0.25">
      <c r="A250">
        <v>100249</v>
      </c>
      <c r="B250" s="1">
        <v>46116</v>
      </c>
      <c r="C250" t="s">
        <v>35</v>
      </c>
      <c r="D250" t="s">
        <v>36</v>
      </c>
      <c r="E250" t="s">
        <v>37</v>
      </c>
      <c r="F250" t="s">
        <v>19</v>
      </c>
      <c r="G250" t="s">
        <v>52</v>
      </c>
      <c r="H250" t="s">
        <v>204</v>
      </c>
      <c r="I250" t="s">
        <v>22</v>
      </c>
      <c r="J250">
        <v>2</v>
      </c>
      <c r="K250">
        <v>42000</v>
      </c>
      <c r="L250">
        <v>0.1</v>
      </c>
      <c r="M250">
        <v>75600</v>
      </c>
      <c r="N250">
        <v>28000</v>
      </c>
      <c r="O250" t="s">
        <v>23</v>
      </c>
      <c r="P250" t="s">
        <v>47</v>
      </c>
    </row>
    <row r="251" spans="1:16" x14ac:dyDescent="0.25">
      <c r="A251">
        <v>100250</v>
      </c>
      <c r="B251" s="1">
        <v>46140</v>
      </c>
      <c r="C251" t="s">
        <v>50</v>
      </c>
      <c r="D251" t="s">
        <v>51</v>
      </c>
      <c r="E251" t="s">
        <v>43</v>
      </c>
      <c r="F251" t="s">
        <v>27</v>
      </c>
      <c r="G251" t="s">
        <v>28</v>
      </c>
      <c r="H251" t="s">
        <v>199</v>
      </c>
      <c r="I251" t="s">
        <v>22</v>
      </c>
      <c r="J251">
        <v>4</v>
      </c>
      <c r="K251">
        <v>165000</v>
      </c>
      <c r="L251">
        <v>0</v>
      </c>
      <c r="M251">
        <v>660000</v>
      </c>
      <c r="N251">
        <v>112000</v>
      </c>
      <c r="O251" t="s">
        <v>23</v>
      </c>
      <c r="P251" t="s">
        <v>47</v>
      </c>
    </row>
    <row r="252" spans="1:16" x14ac:dyDescent="0.25">
      <c r="A252">
        <v>100251</v>
      </c>
      <c r="B252" s="1">
        <v>46226</v>
      </c>
      <c r="C252" t="s">
        <v>25</v>
      </c>
      <c r="D252" t="s">
        <v>26</v>
      </c>
      <c r="E252" t="s">
        <v>43</v>
      </c>
      <c r="F252" t="s">
        <v>19</v>
      </c>
      <c r="G252" t="s">
        <v>52</v>
      </c>
      <c r="H252" t="s">
        <v>186</v>
      </c>
      <c r="I252" t="s">
        <v>30</v>
      </c>
      <c r="J252">
        <v>2</v>
      </c>
      <c r="K252">
        <v>42000</v>
      </c>
      <c r="L252">
        <v>0</v>
      </c>
      <c r="M252">
        <v>84000</v>
      </c>
      <c r="N252">
        <v>28000</v>
      </c>
      <c r="O252" t="s">
        <v>23</v>
      </c>
      <c r="P252" t="s">
        <v>47</v>
      </c>
    </row>
    <row r="253" spans="1:16" x14ac:dyDescent="0.25">
      <c r="A253">
        <v>100252</v>
      </c>
      <c r="B253" s="1">
        <v>46214</v>
      </c>
      <c r="C253" t="s">
        <v>35</v>
      </c>
      <c r="D253" t="s">
        <v>36</v>
      </c>
      <c r="E253" t="s">
        <v>43</v>
      </c>
      <c r="F253" t="s">
        <v>27</v>
      </c>
      <c r="G253" t="s">
        <v>38</v>
      </c>
      <c r="H253" t="s">
        <v>167</v>
      </c>
      <c r="I253" t="s">
        <v>30</v>
      </c>
      <c r="J253">
        <v>2</v>
      </c>
      <c r="K253">
        <v>26000</v>
      </c>
      <c r="L253">
        <v>0</v>
      </c>
      <c r="M253">
        <v>52000</v>
      </c>
      <c r="N253">
        <v>15000</v>
      </c>
      <c r="O253" t="s">
        <v>23</v>
      </c>
      <c r="P253" t="s">
        <v>58</v>
      </c>
    </row>
    <row r="254" spans="1:16" x14ac:dyDescent="0.25">
      <c r="A254">
        <v>100253</v>
      </c>
      <c r="B254" s="1">
        <v>46024</v>
      </c>
      <c r="C254" t="s">
        <v>55</v>
      </c>
      <c r="D254" t="s">
        <v>56</v>
      </c>
      <c r="E254" t="s">
        <v>18</v>
      </c>
      <c r="F254" t="s">
        <v>19</v>
      </c>
      <c r="G254" t="s">
        <v>20</v>
      </c>
      <c r="H254" t="s">
        <v>145</v>
      </c>
      <c r="I254" t="s">
        <v>30</v>
      </c>
      <c r="J254">
        <v>2</v>
      </c>
      <c r="K254">
        <v>58000</v>
      </c>
      <c r="L254">
        <v>0.05</v>
      </c>
      <c r="M254">
        <v>110200</v>
      </c>
      <c r="N254">
        <v>39000</v>
      </c>
      <c r="O254" t="s">
        <v>23</v>
      </c>
      <c r="P254" t="s">
        <v>64</v>
      </c>
    </row>
    <row r="255" spans="1:16" x14ac:dyDescent="0.25">
      <c r="A255">
        <v>100254</v>
      </c>
      <c r="B255" s="1">
        <v>46123</v>
      </c>
      <c r="C255" t="s">
        <v>35</v>
      </c>
      <c r="D255" t="s">
        <v>36</v>
      </c>
      <c r="E255" t="s">
        <v>37</v>
      </c>
      <c r="F255" t="s">
        <v>19</v>
      </c>
      <c r="G255" t="s">
        <v>20</v>
      </c>
      <c r="H255" t="s">
        <v>103</v>
      </c>
      <c r="I255" t="s">
        <v>30</v>
      </c>
      <c r="J255">
        <v>2</v>
      </c>
      <c r="K255">
        <v>58000</v>
      </c>
      <c r="L255">
        <v>0.1</v>
      </c>
      <c r="M255">
        <v>104400</v>
      </c>
      <c r="N255">
        <v>39000</v>
      </c>
      <c r="O255" t="s">
        <v>23</v>
      </c>
      <c r="P255" t="s">
        <v>40</v>
      </c>
    </row>
    <row r="256" spans="1:16" x14ac:dyDescent="0.25">
      <c r="A256">
        <v>100255</v>
      </c>
      <c r="B256" s="1">
        <v>46147</v>
      </c>
      <c r="C256" t="s">
        <v>42</v>
      </c>
      <c r="D256" t="s">
        <v>26</v>
      </c>
      <c r="E256" t="s">
        <v>37</v>
      </c>
      <c r="F256" t="s">
        <v>19</v>
      </c>
      <c r="G256" t="s">
        <v>62</v>
      </c>
      <c r="H256" t="s">
        <v>205</v>
      </c>
      <c r="I256" t="s">
        <v>22</v>
      </c>
      <c r="J256">
        <v>5</v>
      </c>
      <c r="K256">
        <v>24000</v>
      </c>
      <c r="L256">
        <v>0.15</v>
      </c>
      <c r="M256">
        <v>102000</v>
      </c>
      <c r="N256">
        <v>15000</v>
      </c>
      <c r="O256" t="s">
        <v>76</v>
      </c>
      <c r="P256" t="s">
        <v>31</v>
      </c>
    </row>
    <row r="257" spans="1:16" x14ac:dyDescent="0.25">
      <c r="A257">
        <v>100256</v>
      </c>
      <c r="B257" s="1">
        <v>46226</v>
      </c>
      <c r="C257" t="s">
        <v>35</v>
      </c>
      <c r="D257" t="s">
        <v>36</v>
      </c>
      <c r="E257" t="s">
        <v>43</v>
      </c>
      <c r="F257" t="s">
        <v>206</v>
      </c>
      <c r="G257" t="s">
        <v>45</v>
      </c>
      <c r="H257" t="s">
        <v>72</v>
      </c>
      <c r="I257" t="s">
        <v>22</v>
      </c>
      <c r="J257">
        <v>1</v>
      </c>
      <c r="K257">
        <v>6500</v>
      </c>
      <c r="L257">
        <v>0.05</v>
      </c>
      <c r="M257">
        <v>6175</v>
      </c>
      <c r="N257">
        <v>2200</v>
      </c>
      <c r="O257" t="s">
        <v>23</v>
      </c>
      <c r="P257" t="s">
        <v>84</v>
      </c>
    </row>
    <row r="258" spans="1:16" x14ac:dyDescent="0.25">
      <c r="A258">
        <v>100257</v>
      </c>
      <c r="B258" s="1">
        <v>46085</v>
      </c>
      <c r="C258" t="s">
        <v>25</v>
      </c>
      <c r="D258" t="s">
        <v>26</v>
      </c>
      <c r="E258" t="s">
        <v>37</v>
      </c>
      <c r="F258" t="s">
        <v>19</v>
      </c>
      <c r="G258" t="s">
        <v>20</v>
      </c>
      <c r="H258" t="s">
        <v>160</v>
      </c>
      <c r="I258" t="s">
        <v>30</v>
      </c>
      <c r="J258">
        <v>1</v>
      </c>
      <c r="K258">
        <v>58000</v>
      </c>
      <c r="L258">
        <v>0.05</v>
      </c>
      <c r="M258">
        <v>55100</v>
      </c>
      <c r="N258">
        <v>39000</v>
      </c>
      <c r="O258" t="s">
        <v>23</v>
      </c>
      <c r="P258" t="s">
        <v>47</v>
      </c>
    </row>
    <row r="259" spans="1:16" x14ac:dyDescent="0.25">
      <c r="A259">
        <v>100258</v>
      </c>
      <c r="B259" s="1">
        <v>46204</v>
      </c>
      <c r="C259" t="s">
        <v>55</v>
      </c>
      <c r="D259" t="s">
        <v>56</v>
      </c>
      <c r="E259" t="s">
        <v>18</v>
      </c>
      <c r="F259" t="s">
        <v>19</v>
      </c>
      <c r="G259" t="s">
        <v>52</v>
      </c>
      <c r="H259" t="s">
        <v>78</v>
      </c>
      <c r="I259" t="s">
        <v>22</v>
      </c>
      <c r="J259">
        <v>4</v>
      </c>
      <c r="K259">
        <v>42000</v>
      </c>
      <c r="L259">
        <v>0.15</v>
      </c>
      <c r="M259">
        <v>142800</v>
      </c>
      <c r="N259">
        <v>28000</v>
      </c>
      <c r="O259" t="s">
        <v>23</v>
      </c>
      <c r="P259" t="s">
        <v>84</v>
      </c>
    </row>
    <row r="260" spans="1:16" x14ac:dyDescent="0.25">
      <c r="A260">
        <v>100259</v>
      </c>
      <c r="B260" s="1">
        <v>46226</v>
      </c>
      <c r="C260" t="s">
        <v>32</v>
      </c>
      <c r="D260" t="s">
        <v>17</v>
      </c>
      <c r="E260" t="s">
        <v>43</v>
      </c>
      <c r="F260" t="s">
        <v>27</v>
      </c>
      <c r="G260" t="s">
        <v>28</v>
      </c>
      <c r="H260" t="s">
        <v>193</v>
      </c>
      <c r="I260" t="s">
        <v>30</v>
      </c>
      <c r="J260">
        <v>1</v>
      </c>
      <c r="K260">
        <v>165000</v>
      </c>
      <c r="L260">
        <v>0.25</v>
      </c>
      <c r="M260">
        <v>136125</v>
      </c>
      <c r="N260">
        <v>112000</v>
      </c>
      <c r="O260" t="s">
        <v>76</v>
      </c>
      <c r="P260" t="s">
        <v>40</v>
      </c>
    </row>
    <row r="261" spans="1:16" x14ac:dyDescent="0.25">
      <c r="A261">
        <v>100260</v>
      </c>
      <c r="B261" s="1">
        <v>46126</v>
      </c>
      <c r="C261" t="s">
        <v>55</v>
      </c>
      <c r="D261" t="s">
        <v>56</v>
      </c>
      <c r="E261" t="s">
        <v>18</v>
      </c>
      <c r="F261" t="s">
        <v>27</v>
      </c>
      <c r="G261" t="s">
        <v>33</v>
      </c>
      <c r="H261" t="s">
        <v>107</v>
      </c>
      <c r="I261" t="s">
        <v>30</v>
      </c>
      <c r="J261">
        <v>2</v>
      </c>
      <c r="K261">
        <v>32000</v>
      </c>
      <c r="L261">
        <v>0.15</v>
      </c>
      <c r="M261">
        <v>54400</v>
      </c>
      <c r="N261">
        <v>19000</v>
      </c>
      <c r="O261" t="s">
        <v>23</v>
      </c>
      <c r="P261" t="s">
        <v>64</v>
      </c>
    </row>
    <row r="262" spans="1:16" x14ac:dyDescent="0.25">
      <c r="A262">
        <v>100261</v>
      </c>
      <c r="B262" s="1">
        <v>46087</v>
      </c>
      <c r="C262" t="s">
        <v>16</v>
      </c>
      <c r="D262" t="s">
        <v>17</v>
      </c>
      <c r="E262" t="s">
        <v>43</v>
      </c>
      <c r="F262" t="s">
        <v>27</v>
      </c>
      <c r="G262" t="s">
        <v>38</v>
      </c>
      <c r="H262" t="s">
        <v>162</v>
      </c>
      <c r="I262" t="s">
        <v>22</v>
      </c>
      <c r="J262">
        <v>4</v>
      </c>
      <c r="K262">
        <v>26000</v>
      </c>
      <c r="L262">
        <v>0</v>
      </c>
      <c r="M262">
        <v>104000</v>
      </c>
      <c r="N262">
        <v>15000</v>
      </c>
      <c r="O262" t="s">
        <v>23</v>
      </c>
      <c r="P262" t="s">
        <v>24</v>
      </c>
    </row>
    <row r="263" spans="1:16" x14ac:dyDescent="0.25">
      <c r="A263">
        <v>100262</v>
      </c>
      <c r="B263" s="1">
        <v>46063</v>
      </c>
      <c r="C263" t="s">
        <v>50</v>
      </c>
      <c r="D263" t="s">
        <v>51</v>
      </c>
      <c r="E263" t="s">
        <v>37</v>
      </c>
      <c r="F263" t="s">
        <v>19</v>
      </c>
      <c r="G263" t="s">
        <v>62</v>
      </c>
      <c r="H263" t="s">
        <v>91</v>
      </c>
      <c r="I263" t="s">
        <v>22</v>
      </c>
      <c r="J263">
        <v>4</v>
      </c>
      <c r="K263">
        <v>24000</v>
      </c>
      <c r="L263">
        <v>0.05</v>
      </c>
      <c r="M263">
        <v>91200</v>
      </c>
      <c r="N263">
        <v>15000</v>
      </c>
      <c r="O263" t="s">
        <v>23</v>
      </c>
      <c r="P263" t="s">
        <v>47</v>
      </c>
    </row>
    <row r="264" spans="1:16" x14ac:dyDescent="0.25">
      <c r="A264">
        <v>100263</v>
      </c>
      <c r="B264" s="1">
        <v>46044</v>
      </c>
      <c r="C264" t="s">
        <v>16</v>
      </c>
      <c r="D264" t="s">
        <v>17</v>
      </c>
      <c r="E264" t="s">
        <v>43</v>
      </c>
      <c r="F264" t="s">
        <v>44</v>
      </c>
      <c r="G264" t="s">
        <v>60</v>
      </c>
      <c r="H264" t="s">
        <v>117</v>
      </c>
      <c r="I264" t="s">
        <v>22</v>
      </c>
      <c r="J264">
        <v>5</v>
      </c>
      <c r="K264">
        <v>9000</v>
      </c>
      <c r="L264">
        <v>0.25</v>
      </c>
      <c r="M264">
        <v>33750</v>
      </c>
      <c r="N264">
        <v>3500</v>
      </c>
      <c r="O264" t="s">
        <v>23</v>
      </c>
      <c r="P264" t="s">
        <v>58</v>
      </c>
    </row>
    <row r="265" spans="1:16" x14ac:dyDescent="0.25">
      <c r="A265">
        <v>100264</v>
      </c>
      <c r="B265" s="1">
        <v>46117</v>
      </c>
      <c r="C265" t="s">
        <v>35</v>
      </c>
      <c r="D265" t="s">
        <v>36</v>
      </c>
      <c r="E265" t="s">
        <v>43</v>
      </c>
      <c r="F265" t="s">
        <v>19</v>
      </c>
      <c r="G265" t="s">
        <v>52</v>
      </c>
      <c r="H265" t="s">
        <v>120</v>
      </c>
      <c r="I265" t="s">
        <v>30</v>
      </c>
      <c r="J265">
        <v>1</v>
      </c>
      <c r="K265">
        <v>42000</v>
      </c>
      <c r="L265">
        <v>0.05</v>
      </c>
      <c r="M265">
        <v>39900</v>
      </c>
      <c r="N265">
        <v>28000</v>
      </c>
      <c r="O265" t="s">
        <v>23</v>
      </c>
      <c r="P265" t="s">
        <v>58</v>
      </c>
    </row>
    <row r="266" spans="1:16" x14ac:dyDescent="0.25">
      <c r="A266">
        <v>100265</v>
      </c>
      <c r="B266" s="1">
        <v>46053</v>
      </c>
      <c r="C266" t="s">
        <v>55</v>
      </c>
      <c r="D266" t="s">
        <v>56</v>
      </c>
      <c r="E266" t="s">
        <v>43</v>
      </c>
      <c r="F266" t="s">
        <v>27</v>
      </c>
      <c r="G266" t="s">
        <v>33</v>
      </c>
      <c r="H266" t="s">
        <v>207</v>
      </c>
      <c r="I266" t="s">
        <v>30</v>
      </c>
      <c r="J266">
        <v>2</v>
      </c>
      <c r="K266">
        <v>32000</v>
      </c>
      <c r="L266">
        <v>0</v>
      </c>
      <c r="M266">
        <v>64000</v>
      </c>
      <c r="N266">
        <v>19000</v>
      </c>
      <c r="O266" t="s">
        <v>23</v>
      </c>
      <c r="P266" t="s">
        <v>24</v>
      </c>
    </row>
    <row r="267" spans="1:16" x14ac:dyDescent="0.25">
      <c r="A267">
        <v>100266</v>
      </c>
      <c r="B267" s="1">
        <v>46188</v>
      </c>
      <c r="C267" t="s">
        <v>35</v>
      </c>
      <c r="D267" t="s">
        <v>36</v>
      </c>
      <c r="E267" t="s">
        <v>18</v>
      </c>
      <c r="F267" t="s">
        <v>19</v>
      </c>
      <c r="G267" t="s">
        <v>62</v>
      </c>
      <c r="H267" t="s">
        <v>113</v>
      </c>
      <c r="I267" t="s">
        <v>22</v>
      </c>
      <c r="J267">
        <v>4</v>
      </c>
      <c r="K267">
        <v>24000</v>
      </c>
      <c r="L267">
        <v>0</v>
      </c>
      <c r="M267">
        <v>96000</v>
      </c>
      <c r="N267">
        <v>15000</v>
      </c>
      <c r="O267" t="s">
        <v>23</v>
      </c>
      <c r="P267" t="s">
        <v>64</v>
      </c>
    </row>
    <row r="268" spans="1:16" x14ac:dyDescent="0.25">
      <c r="A268">
        <v>100267</v>
      </c>
      <c r="B268" s="1">
        <v>46143</v>
      </c>
      <c r="C268" t="s">
        <v>55</v>
      </c>
      <c r="D268" t="s">
        <v>56</v>
      </c>
      <c r="E268" t="s">
        <v>43</v>
      </c>
      <c r="F268" t="s">
        <v>27</v>
      </c>
      <c r="G268" t="s">
        <v>38</v>
      </c>
      <c r="H268" t="s">
        <v>175</v>
      </c>
      <c r="I268" t="s">
        <v>30</v>
      </c>
      <c r="J268">
        <v>1</v>
      </c>
      <c r="K268">
        <v>26000</v>
      </c>
      <c r="L268">
        <v>0.05</v>
      </c>
      <c r="M268">
        <v>24700</v>
      </c>
      <c r="N268">
        <v>15000</v>
      </c>
      <c r="O268" t="s">
        <v>23</v>
      </c>
      <c r="P268" t="s">
        <v>54</v>
      </c>
    </row>
    <row r="269" spans="1:16" x14ac:dyDescent="0.25">
      <c r="A269">
        <v>100268</v>
      </c>
      <c r="B269" s="1">
        <v>46082</v>
      </c>
      <c r="C269" t="s">
        <v>42</v>
      </c>
      <c r="D269" t="s">
        <v>26</v>
      </c>
      <c r="E269" t="s">
        <v>37</v>
      </c>
      <c r="F269" t="s">
        <v>19</v>
      </c>
      <c r="G269" t="s">
        <v>20</v>
      </c>
      <c r="H269" t="s">
        <v>146</v>
      </c>
      <c r="I269" t="s">
        <v>30</v>
      </c>
      <c r="J269">
        <v>2</v>
      </c>
      <c r="K269">
        <v>58000</v>
      </c>
      <c r="L269">
        <v>0</v>
      </c>
      <c r="M269">
        <v>116000</v>
      </c>
      <c r="N269">
        <v>39000</v>
      </c>
      <c r="O269" t="s">
        <v>23</v>
      </c>
      <c r="P269" t="s">
        <v>64</v>
      </c>
    </row>
    <row r="270" spans="1:16" x14ac:dyDescent="0.25">
      <c r="A270">
        <v>100269</v>
      </c>
      <c r="B270" s="1">
        <v>46119</v>
      </c>
      <c r="C270" t="s">
        <v>32</v>
      </c>
      <c r="D270" t="s">
        <v>17</v>
      </c>
      <c r="E270" t="s">
        <v>18</v>
      </c>
      <c r="F270" t="s">
        <v>27</v>
      </c>
      <c r="G270" t="s">
        <v>38</v>
      </c>
      <c r="H270" t="s">
        <v>151</v>
      </c>
      <c r="I270" t="s">
        <v>30</v>
      </c>
      <c r="J270">
        <v>5</v>
      </c>
      <c r="K270">
        <v>26000</v>
      </c>
      <c r="L270">
        <v>0.15</v>
      </c>
      <c r="M270">
        <v>110500</v>
      </c>
      <c r="N270">
        <v>15000</v>
      </c>
      <c r="O270" t="s">
        <v>23</v>
      </c>
      <c r="P270" t="s">
        <v>31</v>
      </c>
    </row>
    <row r="271" spans="1:16" x14ac:dyDescent="0.25">
      <c r="A271">
        <v>100270</v>
      </c>
      <c r="B271" s="1">
        <v>46189</v>
      </c>
      <c r="C271" t="s">
        <v>55</v>
      </c>
      <c r="D271" t="s">
        <v>56</v>
      </c>
      <c r="E271" t="s">
        <v>37</v>
      </c>
      <c r="F271" t="s">
        <v>44</v>
      </c>
      <c r="G271" t="s">
        <v>65</v>
      </c>
      <c r="H271" t="s">
        <v>208</v>
      </c>
      <c r="I271" t="s">
        <v>30</v>
      </c>
      <c r="J271">
        <v>4</v>
      </c>
      <c r="K271">
        <v>28000</v>
      </c>
      <c r="L271">
        <v>0</v>
      </c>
      <c r="M271">
        <v>112000</v>
      </c>
      <c r="N271">
        <v>16000</v>
      </c>
      <c r="O271" t="s">
        <v>23</v>
      </c>
      <c r="P271" t="s">
        <v>40</v>
      </c>
    </row>
    <row r="272" spans="1:16" x14ac:dyDescent="0.25">
      <c r="A272">
        <v>100271</v>
      </c>
      <c r="B272" s="1">
        <v>46137</v>
      </c>
      <c r="C272" t="s">
        <v>50</v>
      </c>
      <c r="D272" t="s">
        <v>51</v>
      </c>
      <c r="E272" t="s">
        <v>37</v>
      </c>
      <c r="F272" t="s">
        <v>27</v>
      </c>
      <c r="G272" t="s">
        <v>28</v>
      </c>
      <c r="H272" t="s">
        <v>160</v>
      </c>
      <c r="I272" t="s">
        <v>22</v>
      </c>
      <c r="J272">
        <v>1</v>
      </c>
      <c r="K272">
        <v>165000</v>
      </c>
      <c r="L272">
        <v>0</v>
      </c>
      <c r="M272">
        <v>165000</v>
      </c>
      <c r="N272">
        <v>112000</v>
      </c>
      <c r="O272" t="s">
        <v>23</v>
      </c>
      <c r="P272" t="s">
        <v>24</v>
      </c>
    </row>
    <row r="273" spans="1:16" x14ac:dyDescent="0.25">
      <c r="A273">
        <v>100272</v>
      </c>
      <c r="B273" s="1">
        <v>46100</v>
      </c>
      <c r="C273" t="s">
        <v>42</v>
      </c>
      <c r="D273" t="s">
        <v>26</v>
      </c>
      <c r="E273" t="s">
        <v>43</v>
      </c>
      <c r="F273" t="s">
        <v>19</v>
      </c>
      <c r="G273" t="s">
        <v>52</v>
      </c>
      <c r="H273" t="s">
        <v>146</v>
      </c>
      <c r="I273" t="s">
        <v>30</v>
      </c>
      <c r="J273">
        <v>1</v>
      </c>
      <c r="K273">
        <v>42000</v>
      </c>
      <c r="L273">
        <v>0</v>
      </c>
      <c r="M273">
        <v>42000</v>
      </c>
      <c r="N273">
        <v>28000</v>
      </c>
      <c r="O273" t="s">
        <v>23</v>
      </c>
      <c r="P273" t="s">
        <v>54</v>
      </c>
    </row>
    <row r="274" spans="1:16" x14ac:dyDescent="0.25">
      <c r="A274">
        <v>100273</v>
      </c>
      <c r="B274" s="1">
        <v>46037</v>
      </c>
      <c r="C274" t="s">
        <v>50</v>
      </c>
      <c r="D274" t="s">
        <v>51</v>
      </c>
      <c r="E274" t="s">
        <v>37</v>
      </c>
      <c r="F274" t="s">
        <v>27</v>
      </c>
      <c r="G274" t="s">
        <v>28</v>
      </c>
      <c r="H274" t="s">
        <v>209</v>
      </c>
      <c r="I274" t="s">
        <v>22</v>
      </c>
      <c r="J274">
        <v>2</v>
      </c>
      <c r="K274">
        <v>165000</v>
      </c>
      <c r="L274">
        <v>0.05</v>
      </c>
      <c r="M274">
        <v>313500</v>
      </c>
      <c r="N274">
        <v>112000</v>
      </c>
      <c r="O274" t="s">
        <v>23</v>
      </c>
      <c r="P274" t="s">
        <v>47</v>
      </c>
    </row>
    <row r="275" spans="1:16" x14ac:dyDescent="0.25">
      <c r="A275">
        <v>100274</v>
      </c>
      <c r="B275" s="1">
        <v>46260</v>
      </c>
      <c r="C275" t="s">
        <v>55</v>
      </c>
      <c r="D275" t="s">
        <v>56</v>
      </c>
      <c r="E275" t="s">
        <v>37</v>
      </c>
      <c r="F275" t="s">
        <v>44</v>
      </c>
      <c r="G275" t="s">
        <v>65</v>
      </c>
      <c r="H275" t="s">
        <v>148</v>
      </c>
      <c r="I275" t="s">
        <v>30</v>
      </c>
      <c r="J275">
        <v>3</v>
      </c>
      <c r="K275">
        <v>28000</v>
      </c>
      <c r="L275">
        <v>0</v>
      </c>
      <c r="M275">
        <v>84000</v>
      </c>
      <c r="N275">
        <v>16000</v>
      </c>
      <c r="O275" t="s">
        <v>23</v>
      </c>
      <c r="P275" t="s">
        <v>54</v>
      </c>
    </row>
    <row r="276" spans="1:16" x14ac:dyDescent="0.25">
      <c r="A276">
        <v>100275</v>
      </c>
      <c r="B276" s="1">
        <v>46156</v>
      </c>
      <c r="C276" t="s">
        <v>25</v>
      </c>
      <c r="D276" t="s">
        <v>26</v>
      </c>
      <c r="E276" t="s">
        <v>37</v>
      </c>
      <c r="F276" t="s">
        <v>27</v>
      </c>
      <c r="G276" t="s">
        <v>38</v>
      </c>
      <c r="H276" t="s">
        <v>100</v>
      </c>
      <c r="I276" t="s">
        <v>22</v>
      </c>
      <c r="J276">
        <v>22</v>
      </c>
      <c r="K276">
        <v>26000</v>
      </c>
      <c r="L276">
        <v>0.05</v>
      </c>
      <c r="M276">
        <v>543400</v>
      </c>
      <c r="N276">
        <v>15000</v>
      </c>
      <c r="O276" t="s">
        <v>23</v>
      </c>
      <c r="P276" t="s">
        <v>58</v>
      </c>
    </row>
    <row r="277" spans="1:16" x14ac:dyDescent="0.25">
      <c r="A277">
        <v>100276</v>
      </c>
      <c r="B277" s="1">
        <v>46195</v>
      </c>
      <c r="C277" t="s">
        <v>42</v>
      </c>
      <c r="D277" t="s">
        <v>26</v>
      </c>
      <c r="E277" t="s">
        <v>37</v>
      </c>
      <c r="F277" t="s">
        <v>19</v>
      </c>
      <c r="G277" t="s">
        <v>62</v>
      </c>
      <c r="H277" t="s">
        <v>158</v>
      </c>
      <c r="I277" t="s">
        <v>22</v>
      </c>
      <c r="J277">
        <v>2</v>
      </c>
      <c r="K277">
        <v>24000</v>
      </c>
      <c r="L277">
        <v>0.1</v>
      </c>
      <c r="M277">
        <v>43200</v>
      </c>
      <c r="N277">
        <v>15000</v>
      </c>
      <c r="O277" t="s">
        <v>23</v>
      </c>
      <c r="P277" t="s">
        <v>58</v>
      </c>
    </row>
    <row r="278" spans="1:16" x14ac:dyDescent="0.25">
      <c r="A278">
        <v>100277</v>
      </c>
      <c r="B278" s="1">
        <v>46231</v>
      </c>
      <c r="C278" t="s">
        <v>25</v>
      </c>
      <c r="D278" t="s">
        <v>26</v>
      </c>
      <c r="E278" t="s">
        <v>43</v>
      </c>
      <c r="F278" t="s">
        <v>27</v>
      </c>
      <c r="G278" t="s">
        <v>38</v>
      </c>
      <c r="H278" t="s">
        <v>138</v>
      </c>
      <c r="I278" t="s">
        <v>22</v>
      </c>
      <c r="J278">
        <v>22</v>
      </c>
      <c r="K278">
        <v>26000</v>
      </c>
      <c r="L278">
        <v>0</v>
      </c>
      <c r="M278">
        <v>572000</v>
      </c>
      <c r="N278">
        <v>15000</v>
      </c>
      <c r="O278" t="s">
        <v>23</v>
      </c>
      <c r="P278" t="s">
        <v>40</v>
      </c>
    </row>
    <row r="279" spans="1:16" x14ac:dyDescent="0.25">
      <c r="A279">
        <v>100278</v>
      </c>
      <c r="B279" s="1">
        <v>46200</v>
      </c>
      <c r="C279" t="s">
        <v>25</v>
      </c>
      <c r="D279" t="s">
        <v>26</v>
      </c>
      <c r="E279" t="s">
        <v>43</v>
      </c>
      <c r="F279" t="s">
        <v>27</v>
      </c>
      <c r="G279" t="s">
        <v>38</v>
      </c>
      <c r="H279" t="s">
        <v>190</v>
      </c>
      <c r="I279" t="s">
        <v>22</v>
      </c>
      <c r="J279">
        <v>3</v>
      </c>
      <c r="K279">
        <v>26000</v>
      </c>
      <c r="L279">
        <v>0.1</v>
      </c>
      <c r="M279">
        <v>56160</v>
      </c>
      <c r="N279">
        <v>15000</v>
      </c>
      <c r="O279" t="s">
        <v>23</v>
      </c>
      <c r="P279" t="s">
        <v>54</v>
      </c>
    </row>
    <row r="280" spans="1:16" x14ac:dyDescent="0.25">
      <c r="A280">
        <v>100279</v>
      </c>
      <c r="B280" s="1">
        <v>46074</v>
      </c>
      <c r="C280" t="s">
        <v>16</v>
      </c>
      <c r="D280" t="s">
        <v>17</v>
      </c>
      <c r="E280" t="s">
        <v>37</v>
      </c>
      <c r="F280" t="s">
        <v>44</v>
      </c>
      <c r="G280" t="s">
        <v>45</v>
      </c>
      <c r="H280" t="s">
        <v>39</v>
      </c>
      <c r="I280" t="s">
        <v>30</v>
      </c>
      <c r="J280">
        <v>4</v>
      </c>
      <c r="K280">
        <v>6500</v>
      </c>
      <c r="L280">
        <v>0.15</v>
      </c>
      <c r="M280">
        <v>22100</v>
      </c>
      <c r="N280">
        <v>2200</v>
      </c>
      <c r="O280" t="s">
        <v>23</v>
      </c>
      <c r="P280" t="s">
        <v>64</v>
      </c>
    </row>
    <row r="281" spans="1:16" x14ac:dyDescent="0.25">
      <c r="A281">
        <v>100280</v>
      </c>
      <c r="B281" s="1">
        <v>46189</v>
      </c>
      <c r="C281" t="s">
        <v>25</v>
      </c>
      <c r="D281" t="s">
        <v>26</v>
      </c>
      <c r="E281" t="s">
        <v>18</v>
      </c>
      <c r="F281" t="s">
        <v>27</v>
      </c>
      <c r="G281" t="s">
        <v>33</v>
      </c>
      <c r="H281" t="s">
        <v>210</v>
      </c>
      <c r="I281" t="s">
        <v>30</v>
      </c>
      <c r="J281">
        <v>1</v>
      </c>
      <c r="K281">
        <v>32000</v>
      </c>
      <c r="L281">
        <v>0.05</v>
      </c>
      <c r="M281">
        <v>30400</v>
      </c>
      <c r="N281">
        <v>19000</v>
      </c>
      <c r="O281" t="s">
        <v>23</v>
      </c>
      <c r="P281" t="s">
        <v>40</v>
      </c>
    </row>
    <row r="282" spans="1:16" x14ac:dyDescent="0.25">
      <c r="A282">
        <v>100281</v>
      </c>
      <c r="B282" s="1">
        <v>46157</v>
      </c>
      <c r="C282" t="s">
        <v>25</v>
      </c>
      <c r="D282" t="s">
        <v>26</v>
      </c>
      <c r="E282" t="s">
        <v>18</v>
      </c>
      <c r="F282" t="s">
        <v>27</v>
      </c>
      <c r="G282" t="s">
        <v>38</v>
      </c>
      <c r="H282" t="s">
        <v>211</v>
      </c>
      <c r="I282" t="s">
        <v>22</v>
      </c>
      <c r="J282">
        <v>1</v>
      </c>
      <c r="K282">
        <v>26000</v>
      </c>
      <c r="L282">
        <v>0.15</v>
      </c>
      <c r="M282">
        <v>22100</v>
      </c>
      <c r="N282">
        <v>15000</v>
      </c>
      <c r="O282" t="s">
        <v>23</v>
      </c>
      <c r="P282" t="s">
        <v>47</v>
      </c>
    </row>
    <row r="283" spans="1:16" x14ac:dyDescent="0.25">
      <c r="A283">
        <v>100282</v>
      </c>
      <c r="B283" s="1">
        <v>46149</v>
      </c>
      <c r="C283" t="s">
        <v>25</v>
      </c>
      <c r="D283" t="s">
        <v>26</v>
      </c>
      <c r="E283" t="s">
        <v>43</v>
      </c>
      <c r="F283" t="s">
        <v>27</v>
      </c>
      <c r="G283" t="s">
        <v>38</v>
      </c>
      <c r="H283" t="s">
        <v>126</v>
      </c>
      <c r="I283" t="s">
        <v>30</v>
      </c>
      <c r="J283">
        <v>2</v>
      </c>
      <c r="K283">
        <v>26000</v>
      </c>
      <c r="L283">
        <v>0.05</v>
      </c>
      <c r="M283">
        <v>49400</v>
      </c>
      <c r="N283">
        <v>15000</v>
      </c>
      <c r="O283" t="s">
        <v>23</v>
      </c>
      <c r="P283" t="s">
        <v>31</v>
      </c>
    </row>
    <row r="284" spans="1:16" x14ac:dyDescent="0.25">
      <c r="A284">
        <v>100283</v>
      </c>
      <c r="B284" s="1">
        <v>46260</v>
      </c>
      <c r="C284" t="s">
        <v>25</v>
      </c>
      <c r="D284" t="s">
        <v>26</v>
      </c>
      <c r="E284" t="s">
        <v>43</v>
      </c>
      <c r="F284" t="s">
        <v>19</v>
      </c>
      <c r="G284" t="s">
        <v>20</v>
      </c>
      <c r="H284" t="s">
        <v>125</v>
      </c>
      <c r="I284" t="s">
        <v>30</v>
      </c>
      <c r="J284">
        <v>1</v>
      </c>
      <c r="K284">
        <v>58000</v>
      </c>
      <c r="L284">
        <v>0.05</v>
      </c>
      <c r="M284">
        <v>55100</v>
      </c>
      <c r="N284">
        <v>39000</v>
      </c>
      <c r="O284" t="s">
        <v>23</v>
      </c>
      <c r="P284" t="s">
        <v>47</v>
      </c>
    </row>
    <row r="285" spans="1:16" x14ac:dyDescent="0.25">
      <c r="A285">
        <v>100284</v>
      </c>
      <c r="B285" s="1">
        <v>46245</v>
      </c>
      <c r="C285" t="s">
        <v>16</v>
      </c>
      <c r="D285" t="s">
        <v>17</v>
      </c>
      <c r="E285" t="s">
        <v>43</v>
      </c>
      <c r="F285" t="s">
        <v>19</v>
      </c>
      <c r="G285" t="s">
        <v>62</v>
      </c>
      <c r="H285" t="s">
        <v>212</v>
      </c>
      <c r="I285" t="s">
        <v>22</v>
      </c>
      <c r="J285">
        <v>4</v>
      </c>
      <c r="K285">
        <v>24000</v>
      </c>
      <c r="L285">
        <v>0.1</v>
      </c>
      <c r="M285">
        <v>95040</v>
      </c>
      <c r="N285">
        <v>15000</v>
      </c>
      <c r="O285" t="s">
        <v>23</v>
      </c>
      <c r="P285" t="s">
        <v>54</v>
      </c>
    </row>
    <row r="286" spans="1:16" x14ac:dyDescent="0.25">
      <c r="A286">
        <v>100285</v>
      </c>
      <c r="B286" s="1">
        <v>46221</v>
      </c>
      <c r="C286" t="s">
        <v>35</v>
      </c>
      <c r="D286" t="s">
        <v>36</v>
      </c>
      <c r="E286" t="s">
        <v>37</v>
      </c>
      <c r="F286" t="s">
        <v>19</v>
      </c>
      <c r="G286" t="s">
        <v>62</v>
      </c>
      <c r="H286" t="s">
        <v>165</v>
      </c>
      <c r="I286" t="s">
        <v>30</v>
      </c>
      <c r="J286">
        <v>1</v>
      </c>
      <c r="K286">
        <v>24000</v>
      </c>
      <c r="L286">
        <v>0.05</v>
      </c>
      <c r="M286">
        <v>22800</v>
      </c>
      <c r="N286">
        <v>15000</v>
      </c>
      <c r="O286" t="s">
        <v>23</v>
      </c>
      <c r="P286" t="s">
        <v>58</v>
      </c>
    </row>
    <row r="287" spans="1:16" x14ac:dyDescent="0.25">
      <c r="A287">
        <v>100286</v>
      </c>
      <c r="B287" s="1">
        <v>46097</v>
      </c>
      <c r="C287" t="s">
        <v>35</v>
      </c>
      <c r="D287" t="s">
        <v>36</v>
      </c>
      <c r="E287" t="s">
        <v>37</v>
      </c>
      <c r="F287" t="s">
        <v>44</v>
      </c>
      <c r="G287" t="s">
        <v>60</v>
      </c>
      <c r="H287" t="s">
        <v>213</v>
      </c>
      <c r="I287" t="s">
        <v>30</v>
      </c>
      <c r="J287">
        <v>1</v>
      </c>
      <c r="K287">
        <v>9000</v>
      </c>
      <c r="L287">
        <v>0.1</v>
      </c>
      <c r="M287">
        <v>8100</v>
      </c>
      <c r="N287">
        <v>3500</v>
      </c>
      <c r="O287" t="s">
        <v>23</v>
      </c>
      <c r="P287" t="s">
        <v>84</v>
      </c>
    </row>
    <row r="288" spans="1:16" x14ac:dyDescent="0.25">
      <c r="A288">
        <v>100287</v>
      </c>
      <c r="B288" s="1">
        <v>46078</v>
      </c>
      <c r="C288" t="s">
        <v>55</v>
      </c>
      <c r="D288" t="s">
        <v>56</v>
      </c>
      <c r="E288" t="s">
        <v>37</v>
      </c>
      <c r="F288" t="s">
        <v>27</v>
      </c>
      <c r="G288" t="s">
        <v>33</v>
      </c>
      <c r="H288" t="s">
        <v>214</v>
      </c>
      <c r="I288" t="s">
        <v>22</v>
      </c>
      <c r="J288">
        <v>3</v>
      </c>
      <c r="K288">
        <v>32000</v>
      </c>
      <c r="L288">
        <v>0.05</v>
      </c>
      <c r="M288">
        <v>91200</v>
      </c>
      <c r="N288">
        <v>19000</v>
      </c>
      <c r="O288" t="s">
        <v>23</v>
      </c>
      <c r="P288" t="s">
        <v>40</v>
      </c>
    </row>
    <row r="289" spans="1:16" x14ac:dyDescent="0.25">
      <c r="A289">
        <v>100288</v>
      </c>
      <c r="B289" s="1">
        <v>46177</v>
      </c>
      <c r="C289" t="s">
        <v>50</v>
      </c>
      <c r="D289" t="s">
        <v>51</v>
      </c>
      <c r="E289" t="s">
        <v>43</v>
      </c>
      <c r="F289" t="s">
        <v>27</v>
      </c>
      <c r="G289" t="s">
        <v>38</v>
      </c>
      <c r="H289" t="s">
        <v>154</v>
      </c>
      <c r="I289" t="s">
        <v>30</v>
      </c>
      <c r="J289">
        <v>1</v>
      </c>
      <c r="K289">
        <v>26000</v>
      </c>
      <c r="L289">
        <v>0.05</v>
      </c>
      <c r="M289">
        <v>24700</v>
      </c>
      <c r="N289">
        <v>15000</v>
      </c>
      <c r="O289" t="s">
        <v>23</v>
      </c>
      <c r="P289" t="s">
        <v>24</v>
      </c>
    </row>
    <row r="290" spans="1:16" x14ac:dyDescent="0.25">
      <c r="A290">
        <v>100289</v>
      </c>
      <c r="B290" s="1">
        <v>46224</v>
      </c>
      <c r="C290" t="s">
        <v>25</v>
      </c>
      <c r="D290" t="s">
        <v>26</v>
      </c>
      <c r="E290" t="s">
        <v>43</v>
      </c>
      <c r="F290" t="s">
        <v>27</v>
      </c>
      <c r="G290" t="s">
        <v>33</v>
      </c>
      <c r="H290" t="s">
        <v>215</v>
      </c>
      <c r="I290" t="s">
        <v>22</v>
      </c>
      <c r="J290">
        <v>3</v>
      </c>
      <c r="K290">
        <v>32000</v>
      </c>
      <c r="L290">
        <v>0.1</v>
      </c>
      <c r="M290">
        <v>86400</v>
      </c>
      <c r="N290">
        <v>19000</v>
      </c>
      <c r="O290" t="s">
        <v>23</v>
      </c>
      <c r="P290" t="s">
        <v>58</v>
      </c>
    </row>
    <row r="291" spans="1:16" x14ac:dyDescent="0.25">
      <c r="A291">
        <v>100290</v>
      </c>
      <c r="B291" s="1">
        <v>46116</v>
      </c>
      <c r="C291" t="s">
        <v>25</v>
      </c>
      <c r="D291" t="s">
        <v>26</v>
      </c>
      <c r="E291" t="s">
        <v>43</v>
      </c>
      <c r="F291" t="s">
        <v>27</v>
      </c>
      <c r="G291" t="s">
        <v>33</v>
      </c>
      <c r="H291" t="s">
        <v>29</v>
      </c>
      <c r="I291" t="s">
        <v>30</v>
      </c>
      <c r="J291">
        <v>5</v>
      </c>
      <c r="K291">
        <v>32000</v>
      </c>
      <c r="L291">
        <v>0.15</v>
      </c>
      <c r="M291">
        <v>136000</v>
      </c>
      <c r="N291">
        <v>19000</v>
      </c>
      <c r="O291" t="s">
        <v>23</v>
      </c>
      <c r="P291" t="s">
        <v>64</v>
      </c>
    </row>
    <row r="292" spans="1:16" x14ac:dyDescent="0.25">
      <c r="A292">
        <v>100291</v>
      </c>
      <c r="B292" s="1">
        <v>46110</v>
      </c>
      <c r="C292" t="s">
        <v>50</v>
      </c>
      <c r="D292" t="s">
        <v>51</v>
      </c>
      <c r="E292" t="s">
        <v>43</v>
      </c>
      <c r="F292" t="s">
        <v>27</v>
      </c>
      <c r="G292" t="s">
        <v>33</v>
      </c>
      <c r="H292" t="s">
        <v>79</v>
      </c>
      <c r="I292" t="s">
        <v>30</v>
      </c>
      <c r="J292">
        <v>1</v>
      </c>
      <c r="K292">
        <v>32000</v>
      </c>
      <c r="L292">
        <v>0.1</v>
      </c>
      <c r="M292">
        <v>28800</v>
      </c>
      <c r="N292">
        <v>19000</v>
      </c>
      <c r="O292" t="s">
        <v>23</v>
      </c>
      <c r="P292" t="s">
        <v>54</v>
      </c>
    </row>
    <row r="293" spans="1:16" x14ac:dyDescent="0.25">
      <c r="A293">
        <v>100292</v>
      </c>
      <c r="B293" s="1">
        <v>46130</v>
      </c>
      <c r="C293" t="s">
        <v>42</v>
      </c>
      <c r="D293" t="s">
        <v>26</v>
      </c>
      <c r="E293" t="s">
        <v>18</v>
      </c>
      <c r="F293" t="s">
        <v>27</v>
      </c>
      <c r="G293" t="s">
        <v>28</v>
      </c>
      <c r="H293" t="s">
        <v>90</v>
      </c>
      <c r="I293" t="s">
        <v>30</v>
      </c>
      <c r="J293">
        <v>1</v>
      </c>
      <c r="K293">
        <v>165000</v>
      </c>
      <c r="L293">
        <v>0.15</v>
      </c>
      <c r="M293">
        <v>140250</v>
      </c>
      <c r="N293">
        <v>112000</v>
      </c>
      <c r="O293" t="s">
        <v>23</v>
      </c>
      <c r="P293" t="s">
        <v>64</v>
      </c>
    </row>
    <row r="294" spans="1:16" x14ac:dyDescent="0.25">
      <c r="A294">
        <v>100293</v>
      </c>
      <c r="B294" s="1">
        <v>46122</v>
      </c>
      <c r="C294" t="s">
        <v>55</v>
      </c>
      <c r="D294" t="s">
        <v>56</v>
      </c>
      <c r="E294" t="s">
        <v>18</v>
      </c>
      <c r="F294" t="s">
        <v>44</v>
      </c>
      <c r="G294" t="s">
        <v>65</v>
      </c>
      <c r="H294" t="s">
        <v>133</v>
      </c>
      <c r="I294" t="s">
        <v>22</v>
      </c>
      <c r="J294">
        <v>2</v>
      </c>
      <c r="K294">
        <v>28000</v>
      </c>
      <c r="L294">
        <v>0</v>
      </c>
      <c r="M294">
        <v>56000</v>
      </c>
      <c r="N294">
        <v>16000</v>
      </c>
      <c r="O294" t="s">
        <v>23</v>
      </c>
      <c r="P294" t="s">
        <v>47</v>
      </c>
    </row>
    <row r="295" spans="1:16" x14ac:dyDescent="0.25">
      <c r="A295">
        <v>100294</v>
      </c>
      <c r="B295" s="1">
        <v>46223</v>
      </c>
      <c r="C295" t="s">
        <v>50</v>
      </c>
      <c r="D295" t="s">
        <v>51</v>
      </c>
      <c r="E295" t="s">
        <v>43</v>
      </c>
      <c r="F295" t="s">
        <v>27</v>
      </c>
      <c r="G295" t="s">
        <v>38</v>
      </c>
      <c r="H295" t="s">
        <v>210</v>
      </c>
      <c r="I295" t="s">
        <v>22</v>
      </c>
      <c r="J295">
        <v>3</v>
      </c>
      <c r="K295">
        <v>26000</v>
      </c>
      <c r="L295">
        <v>0.1</v>
      </c>
      <c r="M295">
        <v>63180</v>
      </c>
      <c r="N295">
        <v>15000</v>
      </c>
      <c r="O295" t="s">
        <v>23</v>
      </c>
      <c r="P295" t="s">
        <v>54</v>
      </c>
    </row>
    <row r="296" spans="1:16" x14ac:dyDescent="0.25">
      <c r="A296">
        <v>100295</v>
      </c>
      <c r="B296" s="1">
        <v>46066</v>
      </c>
      <c r="C296" t="s">
        <v>50</v>
      </c>
      <c r="D296" t="s">
        <v>51</v>
      </c>
      <c r="E296" t="s">
        <v>18</v>
      </c>
      <c r="F296" t="s">
        <v>27</v>
      </c>
      <c r="G296" t="s">
        <v>33</v>
      </c>
      <c r="H296" t="s">
        <v>216</v>
      </c>
      <c r="I296" t="s">
        <v>22</v>
      </c>
      <c r="J296">
        <v>1</v>
      </c>
      <c r="K296">
        <v>32000</v>
      </c>
      <c r="L296">
        <v>0.15</v>
      </c>
      <c r="M296">
        <v>27200</v>
      </c>
      <c r="N296">
        <v>19000</v>
      </c>
      <c r="O296" t="s">
        <v>76</v>
      </c>
      <c r="P296" t="s">
        <v>31</v>
      </c>
    </row>
    <row r="297" spans="1:16" x14ac:dyDescent="0.25">
      <c r="A297">
        <v>100296</v>
      </c>
      <c r="B297" s="1">
        <v>46138</v>
      </c>
      <c r="C297" t="s">
        <v>50</v>
      </c>
      <c r="D297" t="s">
        <v>51</v>
      </c>
      <c r="E297" t="s">
        <v>18</v>
      </c>
      <c r="F297" t="s">
        <v>27</v>
      </c>
      <c r="G297" t="s">
        <v>33</v>
      </c>
      <c r="H297" t="s">
        <v>144</v>
      </c>
      <c r="I297" t="s">
        <v>22</v>
      </c>
      <c r="J297">
        <v>2</v>
      </c>
      <c r="K297">
        <v>32000</v>
      </c>
      <c r="L297">
        <v>0.05</v>
      </c>
      <c r="M297">
        <v>72960</v>
      </c>
      <c r="O297" t="s">
        <v>76</v>
      </c>
      <c r="P297" t="s">
        <v>47</v>
      </c>
    </row>
    <row r="298" spans="1:16" x14ac:dyDescent="0.25">
      <c r="A298">
        <v>100297</v>
      </c>
      <c r="B298" s="1">
        <v>46038</v>
      </c>
      <c r="C298" t="s">
        <v>50</v>
      </c>
      <c r="D298" t="s">
        <v>51</v>
      </c>
      <c r="E298" t="s">
        <v>37</v>
      </c>
      <c r="F298" t="s">
        <v>19</v>
      </c>
      <c r="G298" t="s">
        <v>20</v>
      </c>
      <c r="H298" t="s">
        <v>39</v>
      </c>
      <c r="I298" t="s">
        <v>22</v>
      </c>
      <c r="J298">
        <v>1</v>
      </c>
      <c r="K298">
        <v>58000</v>
      </c>
      <c r="L298">
        <v>0</v>
      </c>
      <c r="M298">
        <v>58000</v>
      </c>
      <c r="N298">
        <v>39000</v>
      </c>
      <c r="O298" t="s">
        <v>23</v>
      </c>
      <c r="P298" t="s">
        <v>24</v>
      </c>
    </row>
    <row r="299" spans="1:16" x14ac:dyDescent="0.25">
      <c r="A299">
        <v>100298</v>
      </c>
      <c r="B299" s="1">
        <v>46054</v>
      </c>
      <c r="C299" t="s">
        <v>42</v>
      </c>
      <c r="D299" t="s">
        <v>26</v>
      </c>
      <c r="E299" t="s">
        <v>37</v>
      </c>
      <c r="F299" t="s">
        <v>27</v>
      </c>
      <c r="G299" t="s">
        <v>38</v>
      </c>
      <c r="H299" t="s">
        <v>217</v>
      </c>
      <c r="I299" t="s">
        <v>30</v>
      </c>
      <c r="J299">
        <v>4</v>
      </c>
      <c r="K299">
        <v>26000</v>
      </c>
      <c r="L299">
        <v>0.1</v>
      </c>
      <c r="M299">
        <v>93600</v>
      </c>
      <c r="N299">
        <v>15000</v>
      </c>
      <c r="O299" t="s">
        <v>23</v>
      </c>
      <c r="P299" t="s">
        <v>54</v>
      </c>
    </row>
    <row r="300" spans="1:16" x14ac:dyDescent="0.25">
      <c r="A300">
        <v>100299</v>
      </c>
      <c r="B300" s="1">
        <v>46209</v>
      </c>
      <c r="C300" t="s">
        <v>25</v>
      </c>
      <c r="D300" t="s">
        <v>26</v>
      </c>
      <c r="E300" t="s">
        <v>43</v>
      </c>
      <c r="F300" t="s">
        <v>44</v>
      </c>
      <c r="G300" t="s">
        <v>65</v>
      </c>
      <c r="H300" t="s">
        <v>141</v>
      </c>
      <c r="I300" t="s">
        <v>30</v>
      </c>
      <c r="J300">
        <v>2</v>
      </c>
      <c r="K300">
        <v>28000</v>
      </c>
      <c r="L300">
        <v>0.1</v>
      </c>
      <c r="M300">
        <v>50400</v>
      </c>
      <c r="N300">
        <v>16000</v>
      </c>
      <c r="O300" t="s">
        <v>23</v>
      </c>
      <c r="P300" t="s">
        <v>31</v>
      </c>
    </row>
    <row r="301" spans="1:16" x14ac:dyDescent="0.25">
      <c r="A301">
        <v>100300</v>
      </c>
      <c r="B301" s="1">
        <v>46028</v>
      </c>
      <c r="C301" t="s">
        <v>55</v>
      </c>
      <c r="D301" t="s">
        <v>56</v>
      </c>
      <c r="E301" t="s">
        <v>18</v>
      </c>
      <c r="F301" t="s">
        <v>44</v>
      </c>
      <c r="G301" t="s">
        <v>45</v>
      </c>
      <c r="H301" t="s">
        <v>193</v>
      </c>
      <c r="I301" t="s">
        <v>22</v>
      </c>
      <c r="J301">
        <v>4</v>
      </c>
      <c r="K301">
        <v>6500</v>
      </c>
      <c r="L301">
        <v>0.1</v>
      </c>
      <c r="M301">
        <v>23400</v>
      </c>
      <c r="N301">
        <v>2200</v>
      </c>
      <c r="O301" t="s">
        <v>23</v>
      </c>
      <c r="P301" t="s">
        <v>31</v>
      </c>
    </row>
    <row r="302" spans="1:16" x14ac:dyDescent="0.25">
      <c r="A302">
        <v>100301</v>
      </c>
      <c r="B302" s="1">
        <v>46087</v>
      </c>
      <c r="C302" t="s">
        <v>42</v>
      </c>
      <c r="D302" t="s">
        <v>26</v>
      </c>
      <c r="E302" t="s">
        <v>43</v>
      </c>
      <c r="F302" t="s">
        <v>27</v>
      </c>
      <c r="G302" t="s">
        <v>38</v>
      </c>
      <c r="H302" t="s">
        <v>95</v>
      </c>
      <c r="I302" t="s">
        <v>30</v>
      </c>
      <c r="J302">
        <v>5</v>
      </c>
      <c r="K302">
        <v>26000</v>
      </c>
      <c r="L302">
        <v>0.05</v>
      </c>
      <c r="M302">
        <v>98800</v>
      </c>
      <c r="N302">
        <v>15000</v>
      </c>
      <c r="O302" t="s">
        <v>76</v>
      </c>
      <c r="P302" t="s">
        <v>84</v>
      </c>
    </row>
    <row r="303" spans="1:16" x14ac:dyDescent="0.25">
      <c r="A303">
        <v>100302</v>
      </c>
      <c r="B303" s="1">
        <v>46081</v>
      </c>
      <c r="C303" t="s">
        <v>42</v>
      </c>
      <c r="D303" t="s">
        <v>26</v>
      </c>
      <c r="E303" t="s">
        <v>43</v>
      </c>
      <c r="F303" t="s">
        <v>44</v>
      </c>
      <c r="G303" t="s">
        <v>65</v>
      </c>
      <c r="H303" t="s">
        <v>99</v>
      </c>
      <c r="I303" t="s">
        <v>30</v>
      </c>
      <c r="J303">
        <v>4</v>
      </c>
      <c r="K303">
        <v>28000</v>
      </c>
      <c r="L303">
        <v>0</v>
      </c>
      <c r="M303">
        <v>112000</v>
      </c>
      <c r="N303">
        <v>16000</v>
      </c>
      <c r="O303" t="s">
        <v>23</v>
      </c>
      <c r="P303" t="s">
        <v>47</v>
      </c>
    </row>
    <row r="304" spans="1:16" x14ac:dyDescent="0.25">
      <c r="A304">
        <v>100303</v>
      </c>
      <c r="B304" s="1">
        <v>46069</v>
      </c>
      <c r="C304" t="s">
        <v>50</v>
      </c>
      <c r="D304" t="s">
        <v>51</v>
      </c>
      <c r="E304" t="s">
        <v>43</v>
      </c>
      <c r="F304" t="s">
        <v>44</v>
      </c>
      <c r="G304" t="s">
        <v>60</v>
      </c>
      <c r="H304" t="s">
        <v>117</v>
      </c>
      <c r="I304" t="s">
        <v>30</v>
      </c>
      <c r="J304">
        <v>2</v>
      </c>
      <c r="K304">
        <v>9000</v>
      </c>
      <c r="L304">
        <v>0.1</v>
      </c>
      <c r="M304">
        <v>16200</v>
      </c>
      <c r="N304">
        <v>3500</v>
      </c>
      <c r="O304" t="s">
        <v>23</v>
      </c>
      <c r="P304" t="s">
        <v>64</v>
      </c>
    </row>
    <row r="305" spans="1:16" x14ac:dyDescent="0.25">
      <c r="A305">
        <v>100304</v>
      </c>
      <c r="B305" s="1">
        <v>46204</v>
      </c>
      <c r="C305" t="s">
        <v>35</v>
      </c>
      <c r="D305" t="s">
        <v>36</v>
      </c>
      <c r="E305" t="s">
        <v>18</v>
      </c>
      <c r="F305" t="s">
        <v>19</v>
      </c>
      <c r="G305" t="s">
        <v>20</v>
      </c>
      <c r="H305" t="s">
        <v>218</v>
      </c>
      <c r="I305" t="s">
        <v>22</v>
      </c>
      <c r="J305">
        <v>5</v>
      </c>
      <c r="K305">
        <v>58000</v>
      </c>
      <c r="L305">
        <v>0.1</v>
      </c>
      <c r="M305">
        <v>261000</v>
      </c>
      <c r="N305">
        <v>39000</v>
      </c>
      <c r="O305" t="s">
        <v>23</v>
      </c>
      <c r="P305" t="s">
        <v>47</v>
      </c>
    </row>
    <row r="306" spans="1:16" x14ac:dyDescent="0.25">
      <c r="A306">
        <v>100305</v>
      </c>
      <c r="B306" s="1">
        <v>46032</v>
      </c>
      <c r="C306" t="s">
        <v>25</v>
      </c>
      <c r="D306" t="s">
        <v>26</v>
      </c>
      <c r="E306" t="s">
        <v>37</v>
      </c>
      <c r="F306" t="s">
        <v>27</v>
      </c>
      <c r="G306" t="s">
        <v>33</v>
      </c>
      <c r="H306" t="s">
        <v>168</v>
      </c>
      <c r="I306" t="s">
        <v>30</v>
      </c>
      <c r="J306">
        <v>2</v>
      </c>
      <c r="K306">
        <v>32000</v>
      </c>
      <c r="L306">
        <v>0.05</v>
      </c>
      <c r="M306">
        <v>60800</v>
      </c>
      <c r="N306">
        <v>19000</v>
      </c>
      <c r="O306" t="s">
        <v>23</v>
      </c>
      <c r="P306" t="s">
        <v>40</v>
      </c>
    </row>
    <row r="307" spans="1:16" x14ac:dyDescent="0.25">
      <c r="A307">
        <v>100306</v>
      </c>
      <c r="B307" s="1">
        <v>46095</v>
      </c>
      <c r="C307" t="s">
        <v>55</v>
      </c>
      <c r="D307" t="s">
        <v>56</v>
      </c>
      <c r="E307" t="s">
        <v>43</v>
      </c>
      <c r="F307" t="s">
        <v>44</v>
      </c>
      <c r="G307" t="s">
        <v>60</v>
      </c>
      <c r="H307" t="s">
        <v>217</v>
      </c>
      <c r="I307" t="s">
        <v>22</v>
      </c>
      <c r="J307">
        <v>1</v>
      </c>
      <c r="K307">
        <v>9000</v>
      </c>
      <c r="L307">
        <v>0.15</v>
      </c>
      <c r="M307">
        <v>7650</v>
      </c>
      <c r="N307">
        <v>3500</v>
      </c>
      <c r="O307" t="s">
        <v>23</v>
      </c>
      <c r="P307" t="s">
        <v>84</v>
      </c>
    </row>
    <row r="308" spans="1:16" x14ac:dyDescent="0.25">
      <c r="A308">
        <v>100307</v>
      </c>
      <c r="B308" s="1">
        <v>46201</v>
      </c>
      <c r="C308" t="s">
        <v>50</v>
      </c>
      <c r="D308" t="s">
        <v>51</v>
      </c>
      <c r="E308" t="s">
        <v>37</v>
      </c>
      <c r="F308" t="s">
        <v>27</v>
      </c>
      <c r="G308" t="s">
        <v>38</v>
      </c>
      <c r="H308" t="s">
        <v>219</v>
      </c>
      <c r="I308" t="s">
        <v>22</v>
      </c>
      <c r="J308">
        <v>3</v>
      </c>
      <c r="K308">
        <v>26000</v>
      </c>
      <c r="L308">
        <v>0</v>
      </c>
      <c r="M308">
        <v>78000</v>
      </c>
      <c r="N308">
        <v>15000</v>
      </c>
      <c r="O308" t="s">
        <v>23</v>
      </c>
      <c r="P308" t="s">
        <v>64</v>
      </c>
    </row>
    <row r="309" spans="1:16" x14ac:dyDescent="0.25">
      <c r="A309">
        <v>100308</v>
      </c>
      <c r="B309" s="1">
        <v>46238</v>
      </c>
      <c r="C309" t="s">
        <v>42</v>
      </c>
      <c r="D309" t="s">
        <v>26</v>
      </c>
      <c r="E309" t="s">
        <v>37</v>
      </c>
      <c r="F309" t="s">
        <v>19</v>
      </c>
      <c r="G309" t="s">
        <v>52</v>
      </c>
      <c r="H309" t="s">
        <v>163</v>
      </c>
      <c r="I309" t="s">
        <v>30</v>
      </c>
      <c r="J309">
        <v>1</v>
      </c>
      <c r="K309">
        <v>42000</v>
      </c>
      <c r="L309">
        <v>0.05</v>
      </c>
      <c r="M309">
        <v>39900</v>
      </c>
      <c r="N309">
        <v>28000</v>
      </c>
      <c r="O309" t="s">
        <v>23</v>
      </c>
      <c r="P309" t="s">
        <v>84</v>
      </c>
    </row>
    <row r="310" spans="1:16" x14ac:dyDescent="0.25">
      <c r="A310">
        <v>100309</v>
      </c>
      <c r="B310" s="1">
        <v>46154</v>
      </c>
      <c r="C310" t="s">
        <v>42</v>
      </c>
      <c r="D310" t="s">
        <v>26</v>
      </c>
      <c r="E310" t="s">
        <v>43</v>
      </c>
      <c r="F310" t="s">
        <v>44</v>
      </c>
      <c r="G310" t="s">
        <v>45</v>
      </c>
      <c r="H310" t="s">
        <v>220</v>
      </c>
      <c r="I310" t="s">
        <v>22</v>
      </c>
      <c r="J310">
        <v>3</v>
      </c>
      <c r="K310">
        <v>6500</v>
      </c>
      <c r="L310">
        <v>0.15</v>
      </c>
      <c r="M310">
        <v>16575</v>
      </c>
      <c r="N310">
        <v>2200</v>
      </c>
      <c r="O310" t="s">
        <v>23</v>
      </c>
      <c r="P310" t="s">
        <v>64</v>
      </c>
    </row>
    <row r="311" spans="1:16" x14ac:dyDescent="0.25">
      <c r="A311">
        <v>100310</v>
      </c>
      <c r="B311" s="1">
        <v>46085</v>
      </c>
      <c r="C311" t="s">
        <v>25</v>
      </c>
      <c r="D311" t="s">
        <v>26</v>
      </c>
      <c r="E311" t="s">
        <v>37</v>
      </c>
      <c r="F311" t="s">
        <v>27</v>
      </c>
      <c r="G311" t="s">
        <v>33</v>
      </c>
      <c r="H311" t="s">
        <v>66</v>
      </c>
      <c r="I311" t="s">
        <v>22</v>
      </c>
      <c r="J311">
        <v>4</v>
      </c>
      <c r="K311">
        <v>32000</v>
      </c>
      <c r="L311">
        <v>0.1</v>
      </c>
      <c r="M311">
        <v>115200</v>
      </c>
      <c r="N311">
        <v>19000</v>
      </c>
      <c r="O311" t="s">
        <v>23</v>
      </c>
      <c r="P311" t="s">
        <v>64</v>
      </c>
    </row>
    <row r="312" spans="1:16" x14ac:dyDescent="0.25">
      <c r="A312">
        <v>100311</v>
      </c>
      <c r="B312" s="1">
        <v>46175</v>
      </c>
      <c r="C312" t="s">
        <v>32</v>
      </c>
      <c r="D312" t="s">
        <v>17</v>
      </c>
      <c r="E312" t="s">
        <v>37</v>
      </c>
      <c r="F312" t="s">
        <v>221</v>
      </c>
      <c r="G312" t="s">
        <v>45</v>
      </c>
      <c r="H312" t="s">
        <v>128</v>
      </c>
      <c r="I312" t="s">
        <v>30</v>
      </c>
      <c r="J312">
        <v>1</v>
      </c>
      <c r="K312">
        <v>6500</v>
      </c>
      <c r="L312">
        <v>0.05</v>
      </c>
      <c r="M312">
        <v>6175</v>
      </c>
      <c r="O312" t="s">
        <v>23</v>
      </c>
      <c r="P312" t="s">
        <v>84</v>
      </c>
    </row>
    <row r="313" spans="1:16" x14ac:dyDescent="0.25">
      <c r="A313">
        <v>100312</v>
      </c>
      <c r="B313" s="1">
        <v>46080</v>
      </c>
      <c r="C313" t="s">
        <v>42</v>
      </c>
      <c r="D313" t="s">
        <v>26</v>
      </c>
      <c r="E313" t="s">
        <v>43</v>
      </c>
      <c r="F313" t="s">
        <v>27</v>
      </c>
      <c r="G313" t="s">
        <v>33</v>
      </c>
      <c r="H313" t="s">
        <v>48</v>
      </c>
      <c r="I313" t="s">
        <v>22</v>
      </c>
      <c r="J313">
        <v>3</v>
      </c>
      <c r="K313">
        <v>32000</v>
      </c>
      <c r="L313">
        <v>0.15</v>
      </c>
      <c r="M313">
        <v>81600</v>
      </c>
      <c r="N313">
        <v>19000</v>
      </c>
      <c r="O313" t="s">
        <v>23</v>
      </c>
      <c r="P313" t="s">
        <v>31</v>
      </c>
    </row>
    <row r="314" spans="1:16" x14ac:dyDescent="0.25">
      <c r="A314">
        <v>100313</v>
      </c>
      <c r="B314" s="1">
        <v>46241</v>
      </c>
      <c r="C314" t="s">
        <v>25</v>
      </c>
      <c r="D314" t="s">
        <v>222</v>
      </c>
      <c r="E314" t="s">
        <v>43</v>
      </c>
      <c r="F314" t="s">
        <v>44</v>
      </c>
      <c r="G314" t="s">
        <v>45</v>
      </c>
      <c r="H314" t="s">
        <v>146</v>
      </c>
      <c r="I314" t="s">
        <v>30</v>
      </c>
      <c r="J314">
        <v>1</v>
      </c>
      <c r="K314">
        <v>6500</v>
      </c>
      <c r="L314">
        <v>0.05</v>
      </c>
      <c r="M314">
        <v>6175</v>
      </c>
      <c r="N314">
        <v>2200</v>
      </c>
      <c r="O314" t="s">
        <v>23</v>
      </c>
      <c r="P314" t="s">
        <v>58</v>
      </c>
    </row>
    <row r="315" spans="1:16" x14ac:dyDescent="0.25">
      <c r="A315">
        <v>100314</v>
      </c>
      <c r="B315" s="1">
        <v>46106</v>
      </c>
      <c r="C315" t="s">
        <v>42</v>
      </c>
      <c r="D315" t="s">
        <v>185</v>
      </c>
      <c r="E315" t="s">
        <v>43</v>
      </c>
      <c r="F315" t="s">
        <v>27</v>
      </c>
      <c r="G315" t="s">
        <v>28</v>
      </c>
      <c r="H315" t="s">
        <v>142</v>
      </c>
      <c r="I315" t="s">
        <v>30</v>
      </c>
      <c r="J315">
        <v>1</v>
      </c>
      <c r="K315">
        <v>165000</v>
      </c>
      <c r="L315">
        <v>0.1</v>
      </c>
      <c r="M315">
        <v>148500</v>
      </c>
      <c r="N315">
        <v>112000</v>
      </c>
      <c r="O315" t="s">
        <v>23</v>
      </c>
      <c r="P315" t="s">
        <v>40</v>
      </c>
    </row>
    <row r="316" spans="1:16" x14ac:dyDescent="0.25">
      <c r="A316">
        <v>100315</v>
      </c>
      <c r="B316" s="1">
        <v>46118</v>
      </c>
      <c r="C316" t="s">
        <v>42</v>
      </c>
      <c r="D316" t="s">
        <v>26</v>
      </c>
      <c r="E316" t="s">
        <v>18</v>
      </c>
      <c r="F316" t="s">
        <v>27</v>
      </c>
      <c r="G316" t="s">
        <v>38</v>
      </c>
      <c r="H316" t="s">
        <v>192</v>
      </c>
      <c r="I316" t="s">
        <v>30</v>
      </c>
      <c r="J316">
        <v>1</v>
      </c>
      <c r="K316">
        <v>26000</v>
      </c>
      <c r="L316">
        <v>0</v>
      </c>
      <c r="M316">
        <v>26000</v>
      </c>
      <c r="N316">
        <v>15000</v>
      </c>
      <c r="O316" t="s">
        <v>23</v>
      </c>
      <c r="P316" t="s">
        <v>24</v>
      </c>
    </row>
    <row r="317" spans="1:16" x14ac:dyDescent="0.25">
      <c r="A317">
        <v>100316</v>
      </c>
      <c r="B317" s="1">
        <v>46154</v>
      </c>
      <c r="C317" t="s">
        <v>35</v>
      </c>
      <c r="D317" t="s">
        <v>36</v>
      </c>
      <c r="E317" t="s">
        <v>37</v>
      </c>
      <c r="F317" t="s">
        <v>27</v>
      </c>
      <c r="G317" t="s">
        <v>33</v>
      </c>
      <c r="H317" t="s">
        <v>70</v>
      </c>
      <c r="I317" t="s">
        <v>22</v>
      </c>
      <c r="J317">
        <v>5</v>
      </c>
      <c r="K317">
        <v>32000</v>
      </c>
      <c r="L317">
        <v>0</v>
      </c>
      <c r="M317">
        <v>160000</v>
      </c>
      <c r="N317">
        <v>19000</v>
      </c>
      <c r="O317" t="s">
        <v>23</v>
      </c>
      <c r="P317" t="s">
        <v>24</v>
      </c>
    </row>
    <row r="318" spans="1:16" x14ac:dyDescent="0.25">
      <c r="A318">
        <v>100317</v>
      </c>
      <c r="B318" s="1">
        <v>46212</v>
      </c>
      <c r="C318" t="s">
        <v>50</v>
      </c>
      <c r="D318" t="s">
        <v>51</v>
      </c>
      <c r="E318" t="s">
        <v>43</v>
      </c>
      <c r="F318" t="s">
        <v>19</v>
      </c>
      <c r="G318" t="s">
        <v>62</v>
      </c>
      <c r="H318" t="s">
        <v>219</v>
      </c>
      <c r="I318" t="s">
        <v>30</v>
      </c>
      <c r="J318">
        <v>1</v>
      </c>
      <c r="K318">
        <v>24000</v>
      </c>
      <c r="L318">
        <v>0.05</v>
      </c>
      <c r="M318">
        <v>22800</v>
      </c>
      <c r="N318">
        <v>15000</v>
      </c>
      <c r="O318" t="s">
        <v>23</v>
      </c>
      <c r="P318" t="s">
        <v>31</v>
      </c>
    </row>
    <row r="319" spans="1:16" x14ac:dyDescent="0.25">
      <c r="A319">
        <v>100318</v>
      </c>
      <c r="B319" s="1">
        <v>46179</v>
      </c>
      <c r="C319" t="s">
        <v>35</v>
      </c>
      <c r="D319" t="s">
        <v>36</v>
      </c>
      <c r="E319" t="s">
        <v>43</v>
      </c>
      <c r="F319" t="s">
        <v>19</v>
      </c>
      <c r="G319" t="s">
        <v>20</v>
      </c>
      <c r="H319" t="s">
        <v>223</v>
      </c>
      <c r="I319" t="s">
        <v>30</v>
      </c>
      <c r="J319">
        <v>2</v>
      </c>
      <c r="K319">
        <v>58000</v>
      </c>
      <c r="L319">
        <v>0.05</v>
      </c>
      <c r="M319">
        <v>110200</v>
      </c>
      <c r="N319">
        <v>39000</v>
      </c>
      <c r="O319" t="s">
        <v>23</v>
      </c>
      <c r="P319" t="s">
        <v>40</v>
      </c>
    </row>
    <row r="320" spans="1:16" x14ac:dyDescent="0.25">
      <c r="A320">
        <v>100319</v>
      </c>
      <c r="B320" s="1">
        <v>46040</v>
      </c>
      <c r="C320" t="s">
        <v>16</v>
      </c>
      <c r="D320" t="s">
        <v>17</v>
      </c>
      <c r="E320" t="s">
        <v>43</v>
      </c>
      <c r="F320" t="s">
        <v>44</v>
      </c>
      <c r="G320" t="s">
        <v>65</v>
      </c>
      <c r="H320" t="s">
        <v>125</v>
      </c>
      <c r="I320" t="s">
        <v>22</v>
      </c>
      <c r="J320">
        <v>4</v>
      </c>
      <c r="K320">
        <v>28000</v>
      </c>
      <c r="L320">
        <v>0.15</v>
      </c>
      <c r="M320">
        <v>95200</v>
      </c>
      <c r="N320">
        <v>16000</v>
      </c>
      <c r="O320" t="s">
        <v>23</v>
      </c>
      <c r="P320" t="s">
        <v>58</v>
      </c>
    </row>
    <row r="321" spans="1:16" x14ac:dyDescent="0.25">
      <c r="A321">
        <v>100320</v>
      </c>
      <c r="B321" s="1">
        <v>46093</v>
      </c>
      <c r="C321" t="s">
        <v>32</v>
      </c>
      <c r="D321" t="s">
        <v>17</v>
      </c>
      <c r="E321" t="s">
        <v>43</v>
      </c>
      <c r="F321" t="s">
        <v>27</v>
      </c>
      <c r="G321" t="s">
        <v>33</v>
      </c>
      <c r="H321" t="s">
        <v>68</v>
      </c>
      <c r="I321" t="s">
        <v>30</v>
      </c>
      <c r="J321">
        <v>2</v>
      </c>
      <c r="K321">
        <v>32000</v>
      </c>
      <c r="L321">
        <v>0.2</v>
      </c>
      <c r="M321">
        <v>51200</v>
      </c>
      <c r="N321">
        <v>19000</v>
      </c>
      <c r="O321" t="s">
        <v>23</v>
      </c>
      <c r="P321" t="s">
        <v>54</v>
      </c>
    </row>
    <row r="322" spans="1:16" x14ac:dyDescent="0.25">
      <c r="A322">
        <v>100321</v>
      </c>
      <c r="B322" s="1">
        <v>46084</v>
      </c>
      <c r="C322" t="s">
        <v>25</v>
      </c>
      <c r="D322" t="s">
        <v>26</v>
      </c>
      <c r="E322" t="s">
        <v>43</v>
      </c>
      <c r="F322" t="s">
        <v>27</v>
      </c>
      <c r="G322" t="s">
        <v>28</v>
      </c>
      <c r="H322" t="s">
        <v>114</v>
      </c>
      <c r="I322" t="s">
        <v>30</v>
      </c>
      <c r="J322">
        <v>2</v>
      </c>
      <c r="K322">
        <v>165000</v>
      </c>
      <c r="L322">
        <v>0</v>
      </c>
      <c r="M322">
        <v>330000</v>
      </c>
      <c r="N322">
        <v>112000</v>
      </c>
      <c r="O322" t="s">
        <v>23</v>
      </c>
      <c r="P322" t="s">
        <v>31</v>
      </c>
    </row>
    <row r="323" spans="1:16" x14ac:dyDescent="0.25">
      <c r="A323">
        <v>100322</v>
      </c>
      <c r="B323" s="1">
        <v>46187</v>
      </c>
      <c r="C323" t="s">
        <v>42</v>
      </c>
      <c r="D323" t="s">
        <v>26</v>
      </c>
      <c r="E323" t="s">
        <v>37</v>
      </c>
      <c r="F323" t="s">
        <v>19</v>
      </c>
      <c r="G323" t="s">
        <v>62</v>
      </c>
      <c r="H323" t="s">
        <v>177</v>
      </c>
      <c r="I323" t="s">
        <v>22</v>
      </c>
      <c r="J323">
        <v>1</v>
      </c>
      <c r="K323">
        <v>24000</v>
      </c>
      <c r="L323">
        <v>0.1</v>
      </c>
      <c r="M323">
        <v>21600</v>
      </c>
      <c r="N323">
        <v>15000</v>
      </c>
      <c r="O323" t="s">
        <v>23</v>
      </c>
      <c r="P323" t="s">
        <v>40</v>
      </c>
    </row>
    <row r="324" spans="1:16" x14ac:dyDescent="0.25">
      <c r="A324">
        <v>100323</v>
      </c>
      <c r="B324" s="1">
        <v>46079</v>
      </c>
      <c r="C324" t="s">
        <v>50</v>
      </c>
      <c r="D324" t="s">
        <v>51</v>
      </c>
      <c r="E324" t="s">
        <v>18</v>
      </c>
      <c r="F324" t="s">
        <v>27</v>
      </c>
      <c r="G324" t="s">
        <v>28</v>
      </c>
      <c r="H324" t="s">
        <v>135</v>
      </c>
      <c r="I324" t="s">
        <v>30</v>
      </c>
      <c r="J324">
        <v>2</v>
      </c>
      <c r="K324">
        <v>165000</v>
      </c>
      <c r="L324">
        <v>0</v>
      </c>
      <c r="M324">
        <v>330000</v>
      </c>
      <c r="N324">
        <v>112000</v>
      </c>
      <c r="O324" t="s">
        <v>23</v>
      </c>
      <c r="P324" t="s">
        <v>24</v>
      </c>
    </row>
    <row r="325" spans="1:16" x14ac:dyDescent="0.25">
      <c r="A325">
        <v>100324</v>
      </c>
      <c r="B325" s="1">
        <v>46038</v>
      </c>
      <c r="C325" t="s">
        <v>50</v>
      </c>
      <c r="D325" t="s">
        <v>51</v>
      </c>
      <c r="E325" t="s">
        <v>43</v>
      </c>
      <c r="F325" t="s">
        <v>27</v>
      </c>
      <c r="G325" t="s">
        <v>28</v>
      </c>
      <c r="H325" t="s">
        <v>204</v>
      </c>
      <c r="I325" t="s">
        <v>22</v>
      </c>
      <c r="J325">
        <v>3</v>
      </c>
      <c r="K325">
        <v>165000</v>
      </c>
      <c r="L325">
        <v>0.1</v>
      </c>
      <c r="M325">
        <v>445500</v>
      </c>
      <c r="N325">
        <v>112000</v>
      </c>
      <c r="O325" t="s">
        <v>23</v>
      </c>
      <c r="P325" t="s">
        <v>58</v>
      </c>
    </row>
    <row r="326" spans="1:16" x14ac:dyDescent="0.25">
      <c r="A326">
        <v>100325</v>
      </c>
      <c r="B326" s="1">
        <v>46251</v>
      </c>
      <c r="C326" t="s">
        <v>35</v>
      </c>
      <c r="D326" t="s">
        <v>36</v>
      </c>
      <c r="E326" t="s">
        <v>18</v>
      </c>
      <c r="F326" t="s">
        <v>19</v>
      </c>
      <c r="G326" t="s">
        <v>52</v>
      </c>
      <c r="H326" t="s">
        <v>180</v>
      </c>
      <c r="I326" t="s">
        <v>30</v>
      </c>
      <c r="J326">
        <v>3</v>
      </c>
      <c r="K326">
        <v>42000</v>
      </c>
      <c r="L326">
        <v>0.05</v>
      </c>
      <c r="M326">
        <v>119700</v>
      </c>
      <c r="N326">
        <v>28000</v>
      </c>
      <c r="O326" t="s">
        <v>23</v>
      </c>
      <c r="P326" t="s">
        <v>24</v>
      </c>
    </row>
    <row r="327" spans="1:16" x14ac:dyDescent="0.25">
      <c r="A327">
        <v>100326</v>
      </c>
      <c r="B327" s="1">
        <v>46165</v>
      </c>
      <c r="C327" t="s">
        <v>50</v>
      </c>
      <c r="D327" t="s">
        <v>51</v>
      </c>
      <c r="E327" t="s">
        <v>37</v>
      </c>
      <c r="F327" t="s">
        <v>27</v>
      </c>
      <c r="G327" t="s">
        <v>33</v>
      </c>
      <c r="H327" t="s">
        <v>197</v>
      </c>
      <c r="I327" t="s">
        <v>30</v>
      </c>
      <c r="J327">
        <v>5</v>
      </c>
      <c r="K327">
        <v>32000</v>
      </c>
      <c r="L327">
        <v>0.05</v>
      </c>
      <c r="M327">
        <v>152000</v>
      </c>
      <c r="N327">
        <v>19000</v>
      </c>
      <c r="O327" t="s">
        <v>23</v>
      </c>
      <c r="P327" t="s">
        <v>40</v>
      </c>
    </row>
    <row r="328" spans="1:16" x14ac:dyDescent="0.25">
      <c r="A328">
        <v>100327</v>
      </c>
      <c r="B328" s="1">
        <v>46141</v>
      </c>
      <c r="C328" t="s">
        <v>42</v>
      </c>
      <c r="D328" t="s">
        <v>26</v>
      </c>
      <c r="E328" t="s">
        <v>43</v>
      </c>
      <c r="F328" t="s">
        <v>27</v>
      </c>
      <c r="G328" t="s">
        <v>38</v>
      </c>
      <c r="H328" t="s">
        <v>68</v>
      </c>
      <c r="I328" t="s">
        <v>22</v>
      </c>
      <c r="J328">
        <v>1</v>
      </c>
      <c r="K328">
        <v>26000</v>
      </c>
      <c r="L328">
        <v>0.1</v>
      </c>
      <c r="M328">
        <v>23400</v>
      </c>
      <c r="N328">
        <v>15000</v>
      </c>
      <c r="O328" t="s">
        <v>23</v>
      </c>
      <c r="P328" t="s">
        <v>31</v>
      </c>
    </row>
    <row r="329" spans="1:16" x14ac:dyDescent="0.25">
      <c r="A329">
        <v>100328</v>
      </c>
      <c r="B329" s="1">
        <v>46144</v>
      </c>
      <c r="C329" t="s">
        <v>35</v>
      </c>
      <c r="D329" t="s">
        <v>36</v>
      </c>
      <c r="E329" t="s">
        <v>18</v>
      </c>
      <c r="F329" t="s">
        <v>19</v>
      </c>
      <c r="G329" t="s">
        <v>52</v>
      </c>
      <c r="H329" t="s">
        <v>224</v>
      </c>
      <c r="I329" t="s">
        <v>30</v>
      </c>
      <c r="J329">
        <v>1</v>
      </c>
      <c r="K329">
        <v>42000</v>
      </c>
      <c r="L329">
        <v>0.05</v>
      </c>
      <c r="M329">
        <v>39900</v>
      </c>
      <c r="N329">
        <v>28000</v>
      </c>
      <c r="O329" t="s">
        <v>23</v>
      </c>
      <c r="P329" t="s">
        <v>40</v>
      </c>
    </row>
    <row r="330" spans="1:16" x14ac:dyDescent="0.25">
      <c r="A330">
        <v>100329</v>
      </c>
      <c r="B330" s="1">
        <v>46023</v>
      </c>
      <c r="C330" t="s">
        <v>50</v>
      </c>
      <c r="D330" t="s">
        <v>51</v>
      </c>
      <c r="E330" t="s">
        <v>18</v>
      </c>
      <c r="F330" t="s">
        <v>27</v>
      </c>
      <c r="G330" t="s">
        <v>33</v>
      </c>
      <c r="H330" t="s">
        <v>128</v>
      </c>
      <c r="I330" t="s">
        <v>30</v>
      </c>
      <c r="J330">
        <v>2</v>
      </c>
      <c r="K330">
        <v>32000</v>
      </c>
      <c r="L330">
        <v>0</v>
      </c>
      <c r="M330">
        <v>64000</v>
      </c>
      <c r="N330">
        <v>19000</v>
      </c>
      <c r="O330" t="s">
        <v>76</v>
      </c>
      <c r="P330" t="s">
        <v>54</v>
      </c>
    </row>
    <row r="331" spans="1:16" x14ac:dyDescent="0.25">
      <c r="A331">
        <v>100330</v>
      </c>
      <c r="B331" s="1">
        <v>46153</v>
      </c>
      <c r="C331" t="s">
        <v>42</v>
      </c>
      <c r="D331" t="s">
        <v>26</v>
      </c>
      <c r="E331" t="s">
        <v>43</v>
      </c>
      <c r="F331" t="s">
        <v>19</v>
      </c>
      <c r="G331" t="s">
        <v>20</v>
      </c>
      <c r="H331" t="s">
        <v>75</v>
      </c>
      <c r="I331" t="s">
        <v>22</v>
      </c>
      <c r="J331">
        <v>2</v>
      </c>
      <c r="K331">
        <v>58000</v>
      </c>
      <c r="L331">
        <v>0.1</v>
      </c>
      <c r="M331">
        <v>104400</v>
      </c>
      <c r="N331">
        <v>39000</v>
      </c>
      <c r="O331" t="s">
        <v>23</v>
      </c>
      <c r="P331" t="s">
        <v>58</v>
      </c>
    </row>
    <row r="332" spans="1:16" x14ac:dyDescent="0.25">
      <c r="A332">
        <v>100331</v>
      </c>
      <c r="B332" s="1">
        <v>46070</v>
      </c>
      <c r="C332" t="s">
        <v>35</v>
      </c>
      <c r="D332" t="s">
        <v>36</v>
      </c>
      <c r="E332" t="s">
        <v>37</v>
      </c>
      <c r="F332" t="s">
        <v>44</v>
      </c>
      <c r="G332" t="s">
        <v>60</v>
      </c>
      <c r="H332" t="s">
        <v>93</v>
      </c>
      <c r="I332" t="s">
        <v>30</v>
      </c>
      <c r="J332">
        <v>1</v>
      </c>
      <c r="K332">
        <v>9000</v>
      </c>
      <c r="L332">
        <v>0.05</v>
      </c>
      <c r="M332">
        <v>8550</v>
      </c>
      <c r="O332" t="s">
        <v>23</v>
      </c>
      <c r="P332" t="s">
        <v>24</v>
      </c>
    </row>
    <row r="333" spans="1:16" x14ac:dyDescent="0.25">
      <c r="A333">
        <v>100332</v>
      </c>
      <c r="B333" s="1">
        <v>46100</v>
      </c>
      <c r="C333" t="s">
        <v>32</v>
      </c>
      <c r="D333" t="s">
        <v>17</v>
      </c>
      <c r="E333" t="s">
        <v>43</v>
      </c>
      <c r="F333" t="s">
        <v>27</v>
      </c>
      <c r="G333" t="s">
        <v>33</v>
      </c>
      <c r="H333" t="s">
        <v>118</v>
      </c>
      <c r="I333" t="s">
        <v>22</v>
      </c>
      <c r="J333">
        <v>1</v>
      </c>
      <c r="K333">
        <v>32000</v>
      </c>
      <c r="L333">
        <v>0.05</v>
      </c>
      <c r="M333">
        <v>30400</v>
      </c>
      <c r="N333">
        <v>19000</v>
      </c>
      <c r="O333" t="s">
        <v>23</v>
      </c>
      <c r="P333" t="s">
        <v>58</v>
      </c>
    </row>
    <row r="334" spans="1:16" x14ac:dyDescent="0.25">
      <c r="A334">
        <v>100333</v>
      </c>
      <c r="B334" s="1">
        <v>46027</v>
      </c>
      <c r="C334" t="s">
        <v>32</v>
      </c>
      <c r="D334" t="s">
        <v>17</v>
      </c>
      <c r="E334" t="s">
        <v>37</v>
      </c>
      <c r="F334" t="s">
        <v>27</v>
      </c>
      <c r="G334" t="s">
        <v>33</v>
      </c>
      <c r="H334" t="s">
        <v>94</v>
      </c>
      <c r="I334" t="s">
        <v>22</v>
      </c>
      <c r="J334">
        <v>5</v>
      </c>
      <c r="K334">
        <v>32000</v>
      </c>
      <c r="L334">
        <v>0.1</v>
      </c>
      <c r="M334">
        <v>144000</v>
      </c>
      <c r="N334">
        <v>19000</v>
      </c>
      <c r="O334" t="s">
        <v>23</v>
      </c>
      <c r="P334" t="s">
        <v>40</v>
      </c>
    </row>
    <row r="335" spans="1:16" x14ac:dyDescent="0.25">
      <c r="A335">
        <v>100334</v>
      </c>
      <c r="B335" s="1">
        <v>46219</v>
      </c>
      <c r="C335" t="s">
        <v>25</v>
      </c>
      <c r="D335" t="s">
        <v>26</v>
      </c>
      <c r="E335" t="s">
        <v>43</v>
      </c>
      <c r="F335" t="s">
        <v>44</v>
      </c>
      <c r="G335" t="s">
        <v>60</v>
      </c>
      <c r="H335" t="s">
        <v>224</v>
      </c>
      <c r="I335" t="s">
        <v>30</v>
      </c>
      <c r="J335">
        <v>1</v>
      </c>
      <c r="K335">
        <v>9000</v>
      </c>
      <c r="L335">
        <v>0</v>
      </c>
      <c r="M335">
        <v>9000</v>
      </c>
      <c r="N335">
        <v>3500</v>
      </c>
      <c r="O335" t="s">
        <v>23</v>
      </c>
      <c r="P335" t="s">
        <v>40</v>
      </c>
    </row>
    <row r="336" spans="1:16" x14ac:dyDescent="0.25">
      <c r="A336">
        <v>100335</v>
      </c>
      <c r="B336" s="1">
        <v>46026</v>
      </c>
      <c r="C336" t="s">
        <v>50</v>
      </c>
      <c r="D336" t="s">
        <v>51</v>
      </c>
      <c r="E336" t="s">
        <v>37</v>
      </c>
      <c r="F336" t="s">
        <v>27</v>
      </c>
      <c r="G336" t="s">
        <v>33</v>
      </c>
      <c r="H336" t="s">
        <v>168</v>
      </c>
      <c r="I336" t="s">
        <v>22</v>
      </c>
      <c r="J336">
        <v>1</v>
      </c>
      <c r="K336">
        <v>32000</v>
      </c>
      <c r="L336">
        <v>0.1</v>
      </c>
      <c r="M336">
        <v>28800</v>
      </c>
      <c r="N336">
        <v>19000</v>
      </c>
      <c r="O336" t="s">
        <v>23</v>
      </c>
      <c r="P336" t="s">
        <v>84</v>
      </c>
    </row>
    <row r="337" spans="1:16" x14ac:dyDescent="0.25">
      <c r="A337">
        <v>100336</v>
      </c>
      <c r="B337" s="1">
        <v>46085</v>
      </c>
      <c r="C337" t="s">
        <v>50</v>
      </c>
      <c r="D337" t="s">
        <v>51</v>
      </c>
      <c r="E337" t="s">
        <v>18</v>
      </c>
      <c r="F337" t="s">
        <v>27</v>
      </c>
      <c r="G337" t="s">
        <v>28</v>
      </c>
      <c r="H337" t="s">
        <v>225</v>
      </c>
      <c r="I337" t="s">
        <v>30</v>
      </c>
      <c r="J337">
        <v>2</v>
      </c>
      <c r="K337">
        <v>165000</v>
      </c>
      <c r="L337">
        <v>0.15</v>
      </c>
      <c r="M337">
        <v>280500</v>
      </c>
      <c r="N337">
        <v>112000</v>
      </c>
      <c r="O337" t="s">
        <v>23</v>
      </c>
      <c r="P337" t="s">
        <v>54</v>
      </c>
    </row>
    <row r="338" spans="1:16" x14ac:dyDescent="0.25">
      <c r="A338">
        <v>100337</v>
      </c>
      <c r="B338" s="1">
        <v>46085</v>
      </c>
      <c r="C338" t="s">
        <v>35</v>
      </c>
      <c r="D338" t="s">
        <v>36</v>
      </c>
      <c r="E338" t="s">
        <v>43</v>
      </c>
      <c r="F338" t="s">
        <v>44</v>
      </c>
      <c r="G338" t="s">
        <v>45</v>
      </c>
      <c r="H338" t="s">
        <v>121</v>
      </c>
      <c r="I338" t="s">
        <v>22</v>
      </c>
      <c r="J338">
        <v>3</v>
      </c>
      <c r="K338">
        <v>6500</v>
      </c>
      <c r="L338">
        <v>0.15</v>
      </c>
      <c r="M338">
        <v>16575</v>
      </c>
      <c r="N338">
        <v>2200</v>
      </c>
      <c r="O338" t="s">
        <v>23</v>
      </c>
      <c r="P338" t="s">
        <v>24</v>
      </c>
    </row>
    <row r="339" spans="1:16" x14ac:dyDescent="0.25">
      <c r="A339">
        <v>100338</v>
      </c>
      <c r="B339" s="1">
        <v>46112</v>
      </c>
      <c r="C339" t="s">
        <v>25</v>
      </c>
      <c r="D339" t="s">
        <v>26</v>
      </c>
      <c r="E339" t="s">
        <v>43</v>
      </c>
      <c r="F339" t="s">
        <v>19</v>
      </c>
      <c r="G339" t="s">
        <v>62</v>
      </c>
      <c r="H339" t="s">
        <v>108</v>
      </c>
      <c r="I339" t="s">
        <v>22</v>
      </c>
      <c r="J339">
        <v>2</v>
      </c>
      <c r="K339">
        <v>24000</v>
      </c>
      <c r="L339">
        <v>0.15</v>
      </c>
      <c r="M339">
        <v>40800</v>
      </c>
      <c r="N339">
        <v>15000</v>
      </c>
      <c r="O339" t="s">
        <v>23</v>
      </c>
      <c r="P339" t="s">
        <v>84</v>
      </c>
    </row>
    <row r="340" spans="1:16" x14ac:dyDescent="0.25">
      <c r="A340">
        <v>100339</v>
      </c>
      <c r="B340" s="1">
        <v>46057</v>
      </c>
      <c r="C340" t="s">
        <v>25</v>
      </c>
      <c r="D340" t="s">
        <v>26</v>
      </c>
      <c r="E340" t="s">
        <v>43</v>
      </c>
      <c r="F340" t="s">
        <v>27</v>
      </c>
      <c r="G340" t="s">
        <v>38</v>
      </c>
      <c r="H340" t="s">
        <v>199</v>
      </c>
      <c r="I340" t="s">
        <v>22</v>
      </c>
      <c r="J340">
        <v>2</v>
      </c>
      <c r="K340">
        <v>26000</v>
      </c>
      <c r="L340">
        <v>0.05</v>
      </c>
      <c r="M340">
        <v>49400</v>
      </c>
      <c r="N340">
        <v>15000</v>
      </c>
      <c r="O340" t="s">
        <v>23</v>
      </c>
      <c r="P340" t="s">
        <v>40</v>
      </c>
    </row>
    <row r="341" spans="1:16" x14ac:dyDescent="0.25">
      <c r="A341">
        <v>100340</v>
      </c>
      <c r="B341" s="1">
        <v>46106</v>
      </c>
      <c r="C341" t="s">
        <v>32</v>
      </c>
      <c r="D341" t="s">
        <v>17</v>
      </c>
      <c r="E341" t="s">
        <v>37</v>
      </c>
      <c r="F341" t="s">
        <v>27</v>
      </c>
      <c r="G341" t="s">
        <v>28</v>
      </c>
      <c r="H341" t="s">
        <v>61</v>
      </c>
      <c r="I341" t="s">
        <v>30</v>
      </c>
      <c r="J341">
        <v>1</v>
      </c>
      <c r="K341">
        <v>165000</v>
      </c>
      <c r="L341">
        <v>0.15</v>
      </c>
      <c r="M341">
        <v>140250</v>
      </c>
      <c r="N341">
        <v>112000</v>
      </c>
      <c r="O341" t="s">
        <v>23</v>
      </c>
      <c r="P341" t="s">
        <v>64</v>
      </c>
    </row>
    <row r="342" spans="1:16" x14ac:dyDescent="0.25">
      <c r="A342">
        <v>100341</v>
      </c>
      <c r="B342" s="1">
        <v>46181</v>
      </c>
      <c r="C342" t="s">
        <v>25</v>
      </c>
      <c r="D342" t="s">
        <v>185</v>
      </c>
      <c r="E342" t="s">
        <v>43</v>
      </c>
      <c r="F342" t="s">
        <v>27</v>
      </c>
      <c r="G342" t="s">
        <v>28</v>
      </c>
      <c r="H342" t="s">
        <v>226</v>
      </c>
      <c r="I342" t="s">
        <v>30</v>
      </c>
      <c r="J342">
        <v>3</v>
      </c>
      <c r="K342">
        <v>165000</v>
      </c>
      <c r="L342">
        <v>0</v>
      </c>
      <c r="M342">
        <v>495000</v>
      </c>
      <c r="N342">
        <v>112000</v>
      </c>
      <c r="O342" t="s">
        <v>23</v>
      </c>
      <c r="P342" t="s">
        <v>24</v>
      </c>
    </row>
    <row r="343" spans="1:16" x14ac:dyDescent="0.25">
      <c r="A343">
        <v>100342</v>
      </c>
      <c r="B343" s="1">
        <v>46053</v>
      </c>
      <c r="C343" t="s">
        <v>32</v>
      </c>
      <c r="D343" t="s">
        <v>17</v>
      </c>
      <c r="E343" t="s">
        <v>43</v>
      </c>
      <c r="F343" t="s">
        <v>27</v>
      </c>
      <c r="G343" t="s">
        <v>33</v>
      </c>
      <c r="H343" t="s">
        <v>205</v>
      </c>
      <c r="I343" t="s">
        <v>30</v>
      </c>
      <c r="J343">
        <v>4</v>
      </c>
      <c r="K343">
        <v>32000</v>
      </c>
      <c r="L343">
        <v>0</v>
      </c>
      <c r="M343">
        <v>128000</v>
      </c>
      <c r="O343" t="s">
        <v>23</v>
      </c>
      <c r="P343" t="s">
        <v>64</v>
      </c>
    </row>
    <row r="344" spans="1:16" x14ac:dyDescent="0.25">
      <c r="A344">
        <v>100343</v>
      </c>
      <c r="B344" s="1">
        <v>46217</v>
      </c>
      <c r="C344" t="s">
        <v>35</v>
      </c>
      <c r="D344" t="s">
        <v>36</v>
      </c>
      <c r="E344" t="s">
        <v>43</v>
      </c>
      <c r="F344" t="s">
        <v>27</v>
      </c>
      <c r="G344" t="s">
        <v>28</v>
      </c>
      <c r="H344" t="s">
        <v>182</v>
      </c>
      <c r="I344" t="s">
        <v>30</v>
      </c>
      <c r="J344">
        <v>4</v>
      </c>
      <c r="K344">
        <v>165000</v>
      </c>
      <c r="L344">
        <v>0</v>
      </c>
      <c r="M344">
        <v>660000</v>
      </c>
      <c r="N344">
        <v>112000</v>
      </c>
      <c r="O344" t="s">
        <v>76</v>
      </c>
      <c r="P344" t="s">
        <v>54</v>
      </c>
    </row>
    <row r="345" spans="1:16" x14ac:dyDescent="0.25">
      <c r="A345">
        <v>100344</v>
      </c>
      <c r="B345" s="1">
        <v>46253</v>
      </c>
      <c r="C345" t="s">
        <v>50</v>
      </c>
      <c r="D345" t="s">
        <v>51</v>
      </c>
      <c r="E345" t="s">
        <v>37</v>
      </c>
      <c r="F345" t="s">
        <v>19</v>
      </c>
      <c r="G345" t="s">
        <v>62</v>
      </c>
      <c r="H345" t="s">
        <v>126</v>
      </c>
      <c r="I345" t="s">
        <v>22</v>
      </c>
      <c r="J345">
        <v>2</v>
      </c>
      <c r="K345">
        <v>24000</v>
      </c>
      <c r="L345">
        <v>0.1</v>
      </c>
      <c r="M345">
        <v>43200</v>
      </c>
      <c r="N345">
        <v>15000</v>
      </c>
      <c r="O345" t="s">
        <v>23</v>
      </c>
      <c r="P345" t="s">
        <v>47</v>
      </c>
    </row>
    <row r="346" spans="1:16" x14ac:dyDescent="0.25">
      <c r="A346">
        <v>100345</v>
      </c>
      <c r="B346" s="1">
        <v>46038</v>
      </c>
      <c r="C346" t="s">
        <v>25</v>
      </c>
      <c r="D346" t="s">
        <v>26</v>
      </c>
      <c r="E346" t="s">
        <v>43</v>
      </c>
      <c r="F346" t="s">
        <v>19</v>
      </c>
      <c r="G346" t="s">
        <v>20</v>
      </c>
      <c r="H346" t="s">
        <v>69</v>
      </c>
      <c r="I346" t="s">
        <v>30</v>
      </c>
      <c r="J346">
        <v>2</v>
      </c>
      <c r="K346">
        <v>58000</v>
      </c>
      <c r="L346">
        <v>0.15</v>
      </c>
      <c r="M346">
        <v>98600</v>
      </c>
      <c r="N346">
        <v>39000</v>
      </c>
      <c r="O346" t="s">
        <v>23</v>
      </c>
      <c r="P346" t="s">
        <v>24</v>
      </c>
    </row>
    <row r="347" spans="1:16" x14ac:dyDescent="0.25">
      <c r="A347">
        <v>100346</v>
      </c>
      <c r="B347" s="1">
        <v>46065</v>
      </c>
      <c r="C347" t="s">
        <v>32</v>
      </c>
      <c r="D347" t="s">
        <v>17</v>
      </c>
      <c r="E347" t="s">
        <v>43</v>
      </c>
      <c r="F347" t="s">
        <v>44</v>
      </c>
      <c r="G347" t="s">
        <v>60</v>
      </c>
      <c r="H347" t="s">
        <v>203</v>
      </c>
      <c r="I347" t="s">
        <v>30</v>
      </c>
      <c r="J347">
        <v>2</v>
      </c>
      <c r="K347">
        <v>9000</v>
      </c>
      <c r="L347">
        <v>0.15</v>
      </c>
      <c r="M347">
        <v>15300</v>
      </c>
      <c r="N347">
        <v>3500</v>
      </c>
      <c r="O347" t="s">
        <v>23</v>
      </c>
      <c r="P347" t="s">
        <v>64</v>
      </c>
    </row>
    <row r="348" spans="1:16" x14ac:dyDescent="0.25">
      <c r="A348">
        <v>100347</v>
      </c>
      <c r="B348" s="1">
        <v>46074</v>
      </c>
      <c r="C348" t="s">
        <v>35</v>
      </c>
      <c r="D348" t="s">
        <v>36</v>
      </c>
      <c r="E348" t="s">
        <v>43</v>
      </c>
      <c r="F348" t="s">
        <v>27</v>
      </c>
      <c r="G348" t="s">
        <v>33</v>
      </c>
      <c r="H348" t="s">
        <v>227</v>
      </c>
      <c r="I348" t="s">
        <v>30</v>
      </c>
      <c r="J348">
        <v>3</v>
      </c>
      <c r="K348">
        <v>32000</v>
      </c>
      <c r="L348">
        <v>0</v>
      </c>
      <c r="M348">
        <v>96000</v>
      </c>
      <c r="N348">
        <v>19000</v>
      </c>
      <c r="O348" t="s">
        <v>23</v>
      </c>
      <c r="P348" t="s">
        <v>24</v>
      </c>
    </row>
    <row r="349" spans="1:16" x14ac:dyDescent="0.25">
      <c r="A349">
        <v>100348</v>
      </c>
      <c r="B349" s="1">
        <v>46225</v>
      </c>
      <c r="C349" t="s">
        <v>35</v>
      </c>
      <c r="D349" t="s">
        <v>36</v>
      </c>
      <c r="E349" t="s">
        <v>43</v>
      </c>
      <c r="F349" t="s">
        <v>19</v>
      </c>
      <c r="G349" t="s">
        <v>62</v>
      </c>
      <c r="H349" t="s">
        <v>171</v>
      </c>
      <c r="I349" t="s">
        <v>30</v>
      </c>
      <c r="J349">
        <v>5</v>
      </c>
      <c r="K349">
        <v>24000</v>
      </c>
      <c r="L349">
        <v>0.05</v>
      </c>
      <c r="M349">
        <v>114000</v>
      </c>
      <c r="N349">
        <v>15000</v>
      </c>
      <c r="O349" t="s">
        <v>23</v>
      </c>
      <c r="P349" t="s">
        <v>24</v>
      </c>
    </row>
    <row r="350" spans="1:16" x14ac:dyDescent="0.25">
      <c r="A350">
        <v>100349</v>
      </c>
      <c r="B350" s="1">
        <v>46141</v>
      </c>
      <c r="C350" t="s">
        <v>50</v>
      </c>
      <c r="D350" t="s">
        <v>51</v>
      </c>
      <c r="E350" t="s">
        <v>43</v>
      </c>
      <c r="F350" t="s">
        <v>27</v>
      </c>
      <c r="G350" t="s">
        <v>33</v>
      </c>
      <c r="H350" t="s">
        <v>130</v>
      </c>
      <c r="I350" t="s">
        <v>30</v>
      </c>
      <c r="J350">
        <v>2</v>
      </c>
      <c r="K350">
        <v>32000</v>
      </c>
      <c r="L350">
        <v>0.15</v>
      </c>
      <c r="M350">
        <v>54400</v>
      </c>
      <c r="N350">
        <v>19000</v>
      </c>
      <c r="O350" t="s">
        <v>23</v>
      </c>
      <c r="P350" t="s">
        <v>84</v>
      </c>
    </row>
    <row r="351" spans="1:16" x14ac:dyDescent="0.25">
      <c r="A351">
        <v>100350</v>
      </c>
      <c r="B351" s="1">
        <v>46170</v>
      </c>
      <c r="C351" t="s">
        <v>25</v>
      </c>
      <c r="D351" t="s">
        <v>26</v>
      </c>
      <c r="E351" t="s">
        <v>43</v>
      </c>
      <c r="F351" t="s">
        <v>19</v>
      </c>
      <c r="G351" t="s">
        <v>52</v>
      </c>
      <c r="H351" t="s">
        <v>141</v>
      </c>
      <c r="I351" t="s">
        <v>22</v>
      </c>
      <c r="J351">
        <v>3</v>
      </c>
      <c r="K351">
        <v>42000</v>
      </c>
      <c r="L351">
        <v>0.15</v>
      </c>
      <c r="M351">
        <v>96390</v>
      </c>
      <c r="N351">
        <v>28000</v>
      </c>
      <c r="O351" t="s">
        <v>23</v>
      </c>
      <c r="P351" t="s">
        <v>54</v>
      </c>
    </row>
    <row r="352" spans="1:16" x14ac:dyDescent="0.25">
      <c r="A352">
        <v>100351</v>
      </c>
      <c r="B352" s="1">
        <v>46040</v>
      </c>
      <c r="C352" t="s">
        <v>35</v>
      </c>
      <c r="D352" t="s">
        <v>36</v>
      </c>
      <c r="E352" t="s">
        <v>43</v>
      </c>
      <c r="F352" t="s">
        <v>27</v>
      </c>
      <c r="G352" t="s">
        <v>33</v>
      </c>
      <c r="H352" t="s">
        <v>34</v>
      </c>
      <c r="I352" t="s">
        <v>22</v>
      </c>
      <c r="J352">
        <v>2</v>
      </c>
      <c r="K352">
        <v>32000</v>
      </c>
      <c r="L352">
        <v>0.1</v>
      </c>
      <c r="M352">
        <v>57600</v>
      </c>
      <c r="N352">
        <v>19000</v>
      </c>
      <c r="O352" t="s">
        <v>23</v>
      </c>
      <c r="P352" t="s">
        <v>47</v>
      </c>
    </row>
    <row r="353" spans="1:16" x14ac:dyDescent="0.25">
      <c r="A353">
        <v>100352</v>
      </c>
      <c r="B353" s="1">
        <v>46134</v>
      </c>
      <c r="C353" t="s">
        <v>25</v>
      </c>
      <c r="D353" t="s">
        <v>26</v>
      </c>
      <c r="E353" t="s">
        <v>37</v>
      </c>
      <c r="F353" t="s">
        <v>27</v>
      </c>
      <c r="G353" t="s">
        <v>33</v>
      </c>
      <c r="H353" t="s">
        <v>82</v>
      </c>
      <c r="I353" t="s">
        <v>22</v>
      </c>
      <c r="J353">
        <v>2</v>
      </c>
      <c r="K353">
        <v>32000</v>
      </c>
      <c r="L353">
        <v>0.15</v>
      </c>
      <c r="M353">
        <v>54400</v>
      </c>
      <c r="N353">
        <v>19000</v>
      </c>
      <c r="O353" t="s">
        <v>23</v>
      </c>
      <c r="P353" t="s">
        <v>47</v>
      </c>
    </row>
    <row r="354" spans="1:16" x14ac:dyDescent="0.25">
      <c r="A354">
        <v>100353</v>
      </c>
      <c r="B354" s="1">
        <v>46203</v>
      </c>
      <c r="C354" t="s">
        <v>32</v>
      </c>
      <c r="D354" t="s">
        <v>17</v>
      </c>
      <c r="E354" t="s">
        <v>37</v>
      </c>
      <c r="F354" t="s">
        <v>44</v>
      </c>
      <c r="G354" t="s">
        <v>65</v>
      </c>
      <c r="H354" t="s">
        <v>145</v>
      </c>
      <c r="I354" t="s">
        <v>22</v>
      </c>
      <c r="J354">
        <v>1</v>
      </c>
      <c r="K354">
        <v>28000</v>
      </c>
      <c r="L354">
        <v>0.15</v>
      </c>
      <c r="M354">
        <v>23800</v>
      </c>
      <c r="O354" t="s">
        <v>23</v>
      </c>
      <c r="P354" t="s">
        <v>47</v>
      </c>
    </row>
    <row r="355" spans="1:16" x14ac:dyDescent="0.25">
      <c r="A355">
        <v>100354</v>
      </c>
      <c r="B355" s="1">
        <v>46037</v>
      </c>
      <c r="C355" t="s">
        <v>50</v>
      </c>
      <c r="D355" t="s">
        <v>51</v>
      </c>
      <c r="E355" t="s">
        <v>37</v>
      </c>
      <c r="F355" t="s">
        <v>44</v>
      </c>
      <c r="G355" t="s">
        <v>60</v>
      </c>
      <c r="H355" t="s">
        <v>148</v>
      </c>
      <c r="I355" t="s">
        <v>30</v>
      </c>
      <c r="J355">
        <v>1</v>
      </c>
      <c r="K355">
        <v>9000</v>
      </c>
      <c r="L355">
        <v>0.15</v>
      </c>
      <c r="M355">
        <v>7650</v>
      </c>
      <c r="N355">
        <v>3500</v>
      </c>
      <c r="O355" t="s">
        <v>23</v>
      </c>
      <c r="P355" t="s">
        <v>54</v>
      </c>
    </row>
    <row r="356" spans="1:16" x14ac:dyDescent="0.25">
      <c r="A356">
        <v>100355</v>
      </c>
      <c r="B356" s="1">
        <v>46099</v>
      </c>
      <c r="C356" t="s">
        <v>42</v>
      </c>
      <c r="D356" t="s">
        <v>26</v>
      </c>
      <c r="E356" t="s">
        <v>37</v>
      </c>
      <c r="F356" t="s">
        <v>19</v>
      </c>
      <c r="G356" t="s">
        <v>52</v>
      </c>
      <c r="H356" t="s">
        <v>228</v>
      </c>
      <c r="I356" t="s">
        <v>30</v>
      </c>
      <c r="J356">
        <v>18</v>
      </c>
      <c r="K356">
        <v>42000</v>
      </c>
      <c r="L356">
        <v>0.1</v>
      </c>
      <c r="M356">
        <v>680400</v>
      </c>
      <c r="N356">
        <v>28000</v>
      </c>
      <c r="O356" t="s">
        <v>23</v>
      </c>
      <c r="P356" t="s">
        <v>31</v>
      </c>
    </row>
    <row r="357" spans="1:16" x14ac:dyDescent="0.25">
      <c r="A357">
        <v>100356</v>
      </c>
      <c r="B357" s="1">
        <v>46116</v>
      </c>
      <c r="C357" t="s">
        <v>50</v>
      </c>
      <c r="D357" t="s">
        <v>51</v>
      </c>
      <c r="E357" t="s">
        <v>37</v>
      </c>
      <c r="F357" t="s">
        <v>19</v>
      </c>
      <c r="G357" t="s">
        <v>20</v>
      </c>
      <c r="H357" t="s">
        <v>192</v>
      </c>
      <c r="I357" t="s">
        <v>30</v>
      </c>
      <c r="J357">
        <v>4</v>
      </c>
      <c r="K357">
        <v>58000</v>
      </c>
      <c r="L357">
        <v>0</v>
      </c>
      <c r="M357">
        <v>232000</v>
      </c>
      <c r="N357">
        <v>39000</v>
      </c>
      <c r="O357" t="s">
        <v>23</v>
      </c>
      <c r="P357" t="s">
        <v>47</v>
      </c>
    </row>
    <row r="358" spans="1:16" x14ac:dyDescent="0.25">
      <c r="A358">
        <v>100357</v>
      </c>
      <c r="B358" s="1">
        <v>46226</v>
      </c>
      <c r="C358" t="s">
        <v>16</v>
      </c>
      <c r="D358" t="s">
        <v>17</v>
      </c>
      <c r="E358" t="s">
        <v>43</v>
      </c>
      <c r="F358" t="s">
        <v>27</v>
      </c>
      <c r="G358" t="s">
        <v>38</v>
      </c>
      <c r="H358" t="s">
        <v>203</v>
      </c>
      <c r="I358" t="s">
        <v>30</v>
      </c>
      <c r="J358">
        <v>1</v>
      </c>
      <c r="K358">
        <v>26000</v>
      </c>
      <c r="L358">
        <v>0.2</v>
      </c>
      <c r="M358">
        <v>20800</v>
      </c>
      <c r="O358" t="s">
        <v>23</v>
      </c>
      <c r="P358" t="s">
        <v>58</v>
      </c>
    </row>
    <row r="359" spans="1:16" x14ac:dyDescent="0.25">
      <c r="A359">
        <v>100358</v>
      </c>
      <c r="B359" s="1">
        <v>46151</v>
      </c>
      <c r="C359" t="s">
        <v>16</v>
      </c>
      <c r="D359" t="s">
        <v>17</v>
      </c>
      <c r="E359" t="s">
        <v>37</v>
      </c>
      <c r="F359" t="s">
        <v>27</v>
      </c>
      <c r="G359" t="s">
        <v>38</v>
      </c>
      <c r="H359" t="s">
        <v>116</v>
      </c>
      <c r="I359" t="s">
        <v>30</v>
      </c>
      <c r="J359">
        <v>2</v>
      </c>
      <c r="K359">
        <v>26000</v>
      </c>
      <c r="L359">
        <v>0.1</v>
      </c>
      <c r="M359">
        <v>46800</v>
      </c>
      <c r="N359">
        <v>15000</v>
      </c>
      <c r="O359" t="s">
        <v>76</v>
      </c>
      <c r="P359" t="s">
        <v>47</v>
      </c>
    </row>
    <row r="360" spans="1:16" x14ac:dyDescent="0.25">
      <c r="A360">
        <v>100359</v>
      </c>
      <c r="B360" s="1">
        <v>46246</v>
      </c>
      <c r="C360" t="s">
        <v>16</v>
      </c>
      <c r="D360" t="s">
        <v>17</v>
      </c>
      <c r="E360" t="s">
        <v>37</v>
      </c>
      <c r="F360" t="s">
        <v>44</v>
      </c>
      <c r="G360" t="s">
        <v>65</v>
      </c>
      <c r="H360" t="s">
        <v>229</v>
      </c>
      <c r="I360" t="s">
        <v>22</v>
      </c>
      <c r="J360">
        <v>1</v>
      </c>
      <c r="K360">
        <v>28000</v>
      </c>
      <c r="L360">
        <v>0</v>
      </c>
      <c r="M360">
        <v>28000</v>
      </c>
      <c r="O360" t="s">
        <v>23</v>
      </c>
      <c r="P360" t="s">
        <v>54</v>
      </c>
    </row>
    <row r="361" spans="1:16" x14ac:dyDescent="0.25">
      <c r="A361">
        <v>100360</v>
      </c>
      <c r="B361" s="1">
        <v>46204</v>
      </c>
      <c r="C361" t="s">
        <v>35</v>
      </c>
      <c r="D361" t="s">
        <v>36</v>
      </c>
      <c r="E361" t="s">
        <v>37</v>
      </c>
      <c r="F361" t="s">
        <v>19</v>
      </c>
      <c r="G361" t="s">
        <v>52</v>
      </c>
      <c r="H361" t="s">
        <v>170</v>
      </c>
      <c r="I361" t="s">
        <v>30</v>
      </c>
      <c r="J361">
        <v>1</v>
      </c>
      <c r="K361">
        <v>42000</v>
      </c>
      <c r="L361">
        <v>0.15</v>
      </c>
      <c r="M361">
        <v>35700</v>
      </c>
      <c r="N361">
        <v>28000</v>
      </c>
      <c r="O361" t="s">
        <v>23</v>
      </c>
      <c r="P361" t="s">
        <v>31</v>
      </c>
    </row>
    <row r="362" spans="1:16" x14ac:dyDescent="0.25">
      <c r="A362">
        <v>100361</v>
      </c>
      <c r="B362" s="1">
        <v>46028</v>
      </c>
      <c r="C362" t="s">
        <v>50</v>
      </c>
      <c r="D362" t="s">
        <v>51</v>
      </c>
      <c r="E362" t="s">
        <v>37</v>
      </c>
      <c r="F362" t="s">
        <v>44</v>
      </c>
      <c r="G362" t="s">
        <v>45</v>
      </c>
      <c r="H362" t="s">
        <v>230</v>
      </c>
      <c r="I362" t="s">
        <v>22</v>
      </c>
      <c r="J362">
        <v>2</v>
      </c>
      <c r="K362">
        <v>6500</v>
      </c>
      <c r="L362">
        <v>0.05</v>
      </c>
      <c r="M362">
        <v>12350</v>
      </c>
      <c r="N362">
        <v>2200</v>
      </c>
      <c r="O362" t="s">
        <v>23</v>
      </c>
      <c r="P362" t="s">
        <v>84</v>
      </c>
    </row>
    <row r="363" spans="1:16" x14ac:dyDescent="0.25">
      <c r="A363">
        <v>100362</v>
      </c>
      <c r="B363" s="1">
        <v>46105</v>
      </c>
      <c r="C363" t="s">
        <v>42</v>
      </c>
      <c r="D363" t="s">
        <v>26</v>
      </c>
      <c r="E363" t="s">
        <v>37</v>
      </c>
      <c r="F363" t="s">
        <v>44</v>
      </c>
      <c r="G363" t="s">
        <v>60</v>
      </c>
      <c r="H363" t="s">
        <v>231</v>
      </c>
      <c r="I363" t="s">
        <v>22</v>
      </c>
      <c r="J363">
        <v>4</v>
      </c>
      <c r="K363">
        <v>9000</v>
      </c>
      <c r="L363">
        <v>0.15</v>
      </c>
      <c r="M363">
        <v>30600</v>
      </c>
      <c r="N363">
        <v>3500</v>
      </c>
      <c r="O363" t="s">
        <v>23</v>
      </c>
      <c r="P363" t="s">
        <v>64</v>
      </c>
    </row>
    <row r="364" spans="1:16" x14ac:dyDescent="0.25">
      <c r="A364">
        <v>100363</v>
      </c>
      <c r="B364" s="1">
        <v>46193</v>
      </c>
      <c r="C364" t="s">
        <v>50</v>
      </c>
      <c r="D364" t="s">
        <v>51</v>
      </c>
      <c r="E364" t="s">
        <v>43</v>
      </c>
      <c r="F364" t="s">
        <v>19</v>
      </c>
      <c r="G364" t="s">
        <v>62</v>
      </c>
      <c r="H364" t="s">
        <v>107</v>
      </c>
      <c r="I364" t="s">
        <v>30</v>
      </c>
      <c r="J364">
        <v>2</v>
      </c>
      <c r="K364">
        <v>24000</v>
      </c>
      <c r="L364">
        <v>0.1</v>
      </c>
      <c r="M364">
        <v>43200</v>
      </c>
      <c r="N364">
        <v>15000</v>
      </c>
      <c r="O364" t="s">
        <v>23</v>
      </c>
      <c r="P364" t="s">
        <v>64</v>
      </c>
    </row>
    <row r="365" spans="1:16" x14ac:dyDescent="0.25">
      <c r="A365">
        <v>100364</v>
      </c>
      <c r="B365" s="1">
        <v>46226</v>
      </c>
      <c r="C365" t="s">
        <v>32</v>
      </c>
      <c r="D365" t="s">
        <v>17</v>
      </c>
      <c r="E365" t="s">
        <v>43</v>
      </c>
      <c r="F365" t="s">
        <v>19</v>
      </c>
      <c r="G365" t="s">
        <v>62</v>
      </c>
      <c r="H365" t="s">
        <v>232</v>
      </c>
      <c r="I365" t="s">
        <v>30</v>
      </c>
      <c r="J365">
        <v>2</v>
      </c>
      <c r="K365">
        <v>24000</v>
      </c>
      <c r="L365">
        <v>0.25</v>
      </c>
      <c r="M365">
        <v>36000</v>
      </c>
      <c r="N365">
        <v>15000</v>
      </c>
      <c r="O365" t="s">
        <v>76</v>
      </c>
      <c r="P365" t="s">
        <v>54</v>
      </c>
    </row>
    <row r="366" spans="1:16" x14ac:dyDescent="0.25">
      <c r="A366">
        <v>100365</v>
      </c>
      <c r="B366" s="1">
        <v>46195</v>
      </c>
      <c r="C366" t="s">
        <v>50</v>
      </c>
      <c r="D366" t="s">
        <v>51</v>
      </c>
      <c r="E366" t="s">
        <v>18</v>
      </c>
      <c r="F366" t="s">
        <v>27</v>
      </c>
      <c r="G366" t="s">
        <v>28</v>
      </c>
      <c r="H366" t="s">
        <v>95</v>
      </c>
      <c r="I366" t="s">
        <v>30</v>
      </c>
      <c r="J366">
        <v>4</v>
      </c>
      <c r="K366">
        <v>165000</v>
      </c>
      <c r="L366">
        <v>0.05</v>
      </c>
      <c r="M366">
        <v>627000</v>
      </c>
      <c r="N366">
        <v>112000</v>
      </c>
      <c r="O366" t="s">
        <v>23</v>
      </c>
      <c r="P366" t="s">
        <v>24</v>
      </c>
    </row>
    <row r="367" spans="1:16" x14ac:dyDescent="0.25">
      <c r="A367">
        <v>100366</v>
      </c>
      <c r="B367" s="1">
        <v>46222</v>
      </c>
      <c r="C367" t="s">
        <v>32</v>
      </c>
      <c r="D367" t="s">
        <v>17</v>
      </c>
      <c r="E367" t="s">
        <v>18</v>
      </c>
      <c r="F367" t="s">
        <v>19</v>
      </c>
      <c r="G367" t="s">
        <v>62</v>
      </c>
      <c r="H367" t="s">
        <v>204</v>
      </c>
      <c r="I367" t="s">
        <v>30</v>
      </c>
      <c r="J367">
        <v>1</v>
      </c>
      <c r="K367">
        <v>24000</v>
      </c>
      <c r="L367">
        <v>0.25</v>
      </c>
      <c r="M367">
        <v>18000</v>
      </c>
      <c r="N367">
        <v>15000</v>
      </c>
      <c r="O367" t="s">
        <v>76</v>
      </c>
      <c r="P367" t="s">
        <v>47</v>
      </c>
    </row>
    <row r="368" spans="1:16" x14ac:dyDescent="0.25">
      <c r="A368">
        <v>100367</v>
      </c>
      <c r="B368" s="1">
        <v>46225</v>
      </c>
      <c r="C368" t="s">
        <v>35</v>
      </c>
      <c r="D368" t="s">
        <v>36</v>
      </c>
      <c r="E368" t="s">
        <v>43</v>
      </c>
      <c r="F368" t="s">
        <v>44</v>
      </c>
      <c r="G368" t="s">
        <v>60</v>
      </c>
      <c r="H368" t="s">
        <v>106</v>
      </c>
      <c r="I368" t="s">
        <v>30</v>
      </c>
      <c r="J368">
        <v>2</v>
      </c>
      <c r="K368">
        <v>9000</v>
      </c>
      <c r="L368">
        <v>0</v>
      </c>
      <c r="M368">
        <v>18000</v>
      </c>
      <c r="N368">
        <v>3500</v>
      </c>
      <c r="O368" t="s">
        <v>23</v>
      </c>
      <c r="P368" t="s">
        <v>31</v>
      </c>
    </row>
    <row r="369" spans="1:16" x14ac:dyDescent="0.25">
      <c r="A369">
        <v>100368</v>
      </c>
      <c r="B369" s="1">
        <v>46216</v>
      </c>
      <c r="C369" t="s">
        <v>42</v>
      </c>
      <c r="D369" t="s">
        <v>26</v>
      </c>
      <c r="E369" t="s">
        <v>43</v>
      </c>
      <c r="F369" t="s">
        <v>44</v>
      </c>
      <c r="G369" t="s">
        <v>45</v>
      </c>
      <c r="H369" t="s">
        <v>179</v>
      </c>
      <c r="I369" t="s">
        <v>30</v>
      </c>
      <c r="J369">
        <v>4</v>
      </c>
      <c r="K369">
        <v>6500</v>
      </c>
      <c r="L369">
        <v>0.05</v>
      </c>
      <c r="M369">
        <v>24700</v>
      </c>
      <c r="N369">
        <v>2200</v>
      </c>
      <c r="O369" t="s">
        <v>23</v>
      </c>
      <c r="P369" t="s">
        <v>47</v>
      </c>
    </row>
    <row r="370" spans="1:16" x14ac:dyDescent="0.25">
      <c r="A370">
        <v>100369</v>
      </c>
      <c r="B370" s="1">
        <v>46193</v>
      </c>
      <c r="C370" t="s">
        <v>35</v>
      </c>
      <c r="D370" t="s">
        <v>36</v>
      </c>
      <c r="E370" t="s">
        <v>18</v>
      </c>
      <c r="F370" t="s">
        <v>27</v>
      </c>
      <c r="G370" t="s">
        <v>38</v>
      </c>
      <c r="H370" t="s">
        <v>179</v>
      </c>
      <c r="I370" t="s">
        <v>30</v>
      </c>
      <c r="J370">
        <v>2</v>
      </c>
      <c r="K370">
        <v>26000</v>
      </c>
      <c r="L370">
        <v>0.05</v>
      </c>
      <c r="M370">
        <v>59280</v>
      </c>
      <c r="N370">
        <v>15000</v>
      </c>
      <c r="O370" t="s">
        <v>23</v>
      </c>
      <c r="P370" t="s">
        <v>47</v>
      </c>
    </row>
    <row r="371" spans="1:16" x14ac:dyDescent="0.25">
      <c r="A371">
        <v>100370</v>
      </c>
      <c r="B371" s="1">
        <v>46185</v>
      </c>
      <c r="C371" t="s">
        <v>25</v>
      </c>
      <c r="D371" t="s">
        <v>26</v>
      </c>
      <c r="E371" t="s">
        <v>18</v>
      </c>
      <c r="F371" t="s">
        <v>19</v>
      </c>
      <c r="G371" t="s">
        <v>20</v>
      </c>
      <c r="H371" t="s">
        <v>143</v>
      </c>
      <c r="I371" t="s">
        <v>30</v>
      </c>
      <c r="J371">
        <v>1</v>
      </c>
      <c r="K371">
        <v>58000</v>
      </c>
      <c r="L371">
        <v>0.1</v>
      </c>
      <c r="M371">
        <v>52200</v>
      </c>
      <c r="N371">
        <v>39000</v>
      </c>
      <c r="O371" t="s">
        <v>23</v>
      </c>
      <c r="P371" t="s">
        <v>40</v>
      </c>
    </row>
    <row r="372" spans="1:16" x14ac:dyDescent="0.25">
      <c r="A372">
        <v>100371</v>
      </c>
      <c r="B372" s="1">
        <v>46131</v>
      </c>
      <c r="C372" t="s">
        <v>50</v>
      </c>
      <c r="D372" t="s">
        <v>51</v>
      </c>
      <c r="E372" t="s">
        <v>43</v>
      </c>
      <c r="F372" t="s">
        <v>19</v>
      </c>
      <c r="G372" t="s">
        <v>20</v>
      </c>
      <c r="H372" t="s">
        <v>144</v>
      </c>
      <c r="I372" t="s">
        <v>22</v>
      </c>
      <c r="J372">
        <v>3</v>
      </c>
      <c r="K372">
        <v>58000</v>
      </c>
      <c r="L372">
        <v>0.1</v>
      </c>
      <c r="M372">
        <v>156600</v>
      </c>
      <c r="N372">
        <v>39000</v>
      </c>
      <c r="O372" t="s">
        <v>23</v>
      </c>
      <c r="P372" t="s">
        <v>40</v>
      </c>
    </row>
    <row r="373" spans="1:16" x14ac:dyDescent="0.25">
      <c r="A373">
        <v>100372</v>
      </c>
      <c r="B373" s="1">
        <v>46234</v>
      </c>
      <c r="C373" t="s">
        <v>32</v>
      </c>
      <c r="D373" t="s">
        <v>17</v>
      </c>
      <c r="E373" t="s">
        <v>43</v>
      </c>
      <c r="F373" t="s">
        <v>19</v>
      </c>
      <c r="G373" t="s">
        <v>62</v>
      </c>
      <c r="H373" t="s">
        <v>152</v>
      </c>
      <c r="I373" t="s">
        <v>30</v>
      </c>
      <c r="J373">
        <v>1</v>
      </c>
      <c r="K373">
        <v>24000</v>
      </c>
      <c r="L373">
        <v>0</v>
      </c>
      <c r="M373">
        <v>24000</v>
      </c>
      <c r="N373">
        <v>15000</v>
      </c>
      <c r="O373" t="s">
        <v>23</v>
      </c>
      <c r="P373" t="s">
        <v>40</v>
      </c>
    </row>
    <row r="374" spans="1:16" x14ac:dyDescent="0.25">
      <c r="A374">
        <v>100373</v>
      </c>
      <c r="B374" s="1">
        <v>46075</v>
      </c>
      <c r="C374" t="s">
        <v>32</v>
      </c>
      <c r="D374" t="s">
        <v>17</v>
      </c>
      <c r="E374" t="s">
        <v>43</v>
      </c>
      <c r="F374" t="s">
        <v>19</v>
      </c>
      <c r="G374" t="s">
        <v>20</v>
      </c>
      <c r="H374" t="s">
        <v>199</v>
      </c>
      <c r="I374" t="s">
        <v>22</v>
      </c>
      <c r="J374">
        <v>2</v>
      </c>
      <c r="K374">
        <v>58000</v>
      </c>
      <c r="L374">
        <v>0.2</v>
      </c>
      <c r="M374">
        <v>92800</v>
      </c>
      <c r="N374">
        <v>39000</v>
      </c>
      <c r="O374" t="s">
        <v>76</v>
      </c>
      <c r="P374" t="s">
        <v>24</v>
      </c>
    </row>
    <row r="375" spans="1:16" x14ac:dyDescent="0.25">
      <c r="A375">
        <v>100374</v>
      </c>
      <c r="B375" s="1">
        <v>46112</v>
      </c>
      <c r="C375" t="s">
        <v>35</v>
      </c>
      <c r="D375" t="s">
        <v>36</v>
      </c>
      <c r="E375" t="s">
        <v>37</v>
      </c>
      <c r="F375" t="s">
        <v>19</v>
      </c>
      <c r="G375" t="s">
        <v>62</v>
      </c>
      <c r="H375" t="s">
        <v>92</v>
      </c>
      <c r="I375" t="s">
        <v>22</v>
      </c>
      <c r="J375">
        <v>1</v>
      </c>
      <c r="K375">
        <v>24000</v>
      </c>
      <c r="L375">
        <v>0.05</v>
      </c>
      <c r="M375">
        <v>22800</v>
      </c>
      <c r="N375">
        <v>15000</v>
      </c>
      <c r="O375" t="s">
        <v>23</v>
      </c>
      <c r="P375" t="s">
        <v>54</v>
      </c>
    </row>
    <row r="376" spans="1:16" x14ac:dyDescent="0.25">
      <c r="A376">
        <v>100375</v>
      </c>
      <c r="B376" s="1">
        <v>46026</v>
      </c>
      <c r="C376" t="s">
        <v>32</v>
      </c>
      <c r="D376" t="s">
        <v>17</v>
      </c>
      <c r="E376" t="s">
        <v>43</v>
      </c>
      <c r="F376" t="s">
        <v>19</v>
      </c>
      <c r="G376" t="s">
        <v>52</v>
      </c>
      <c r="H376" t="s">
        <v>189</v>
      </c>
      <c r="I376" t="s">
        <v>22</v>
      </c>
      <c r="J376">
        <v>2</v>
      </c>
      <c r="K376">
        <v>42000</v>
      </c>
      <c r="L376">
        <v>0.25</v>
      </c>
      <c r="M376">
        <v>63000</v>
      </c>
      <c r="N376">
        <v>28000</v>
      </c>
      <c r="O376" t="s">
        <v>23</v>
      </c>
      <c r="P376" t="s">
        <v>24</v>
      </c>
    </row>
    <row r="377" spans="1:16" x14ac:dyDescent="0.25">
      <c r="A377">
        <v>100376</v>
      </c>
      <c r="B377" s="1">
        <v>46050</v>
      </c>
      <c r="C377" t="s">
        <v>35</v>
      </c>
      <c r="D377" t="s">
        <v>36</v>
      </c>
      <c r="E377" t="s">
        <v>43</v>
      </c>
      <c r="F377" t="s">
        <v>27</v>
      </c>
      <c r="G377" t="s">
        <v>28</v>
      </c>
      <c r="H377" t="s">
        <v>233</v>
      </c>
      <c r="I377" t="s">
        <v>22</v>
      </c>
      <c r="J377">
        <v>1</v>
      </c>
      <c r="K377">
        <v>165000</v>
      </c>
      <c r="L377">
        <v>0.1</v>
      </c>
      <c r="M377">
        <v>148500</v>
      </c>
      <c r="N377">
        <v>112000</v>
      </c>
      <c r="O377" t="s">
        <v>23</v>
      </c>
      <c r="P377" t="s">
        <v>31</v>
      </c>
    </row>
    <row r="378" spans="1:16" x14ac:dyDescent="0.25">
      <c r="A378">
        <v>100377</v>
      </c>
      <c r="B378" s="1">
        <v>46139</v>
      </c>
      <c r="C378" t="s">
        <v>42</v>
      </c>
      <c r="D378" t="s">
        <v>26</v>
      </c>
      <c r="E378" t="s">
        <v>43</v>
      </c>
      <c r="F378" t="s">
        <v>44</v>
      </c>
      <c r="G378" t="s">
        <v>45</v>
      </c>
      <c r="H378" t="s">
        <v>87</v>
      </c>
      <c r="I378" t="s">
        <v>22</v>
      </c>
      <c r="J378">
        <v>3</v>
      </c>
      <c r="K378">
        <v>6500</v>
      </c>
      <c r="L378">
        <v>0.05</v>
      </c>
      <c r="M378">
        <v>18525</v>
      </c>
      <c r="N378">
        <v>2200</v>
      </c>
      <c r="O378" t="s">
        <v>76</v>
      </c>
      <c r="P378" t="s">
        <v>31</v>
      </c>
    </row>
    <row r="379" spans="1:16" x14ac:dyDescent="0.25">
      <c r="A379">
        <v>100378</v>
      </c>
      <c r="B379" s="1">
        <v>46121</v>
      </c>
      <c r="C379" t="s">
        <v>50</v>
      </c>
      <c r="D379" t="s">
        <v>51</v>
      </c>
      <c r="E379" t="s">
        <v>37</v>
      </c>
      <c r="F379" t="s">
        <v>27</v>
      </c>
      <c r="G379" t="s">
        <v>28</v>
      </c>
      <c r="H379" t="s">
        <v>48</v>
      </c>
      <c r="I379" t="s">
        <v>22</v>
      </c>
      <c r="J379">
        <v>3</v>
      </c>
      <c r="K379">
        <v>165000</v>
      </c>
      <c r="L379">
        <v>0.05</v>
      </c>
      <c r="M379">
        <v>470250</v>
      </c>
      <c r="N379">
        <v>112000</v>
      </c>
      <c r="O379" t="s">
        <v>23</v>
      </c>
      <c r="P379" t="s">
        <v>84</v>
      </c>
    </row>
    <row r="380" spans="1:16" x14ac:dyDescent="0.25">
      <c r="A380">
        <v>100379</v>
      </c>
      <c r="B380" s="1">
        <v>46095</v>
      </c>
      <c r="C380" t="s">
        <v>32</v>
      </c>
      <c r="D380" t="s">
        <v>17</v>
      </c>
      <c r="E380" t="s">
        <v>43</v>
      </c>
      <c r="F380" t="s">
        <v>19</v>
      </c>
      <c r="G380" t="s">
        <v>20</v>
      </c>
      <c r="H380" t="s">
        <v>66</v>
      </c>
      <c r="I380" t="s">
        <v>30</v>
      </c>
      <c r="J380">
        <v>3</v>
      </c>
      <c r="K380">
        <v>58000</v>
      </c>
      <c r="L380">
        <v>0.25</v>
      </c>
      <c r="M380">
        <v>130500</v>
      </c>
      <c r="N380">
        <v>39000</v>
      </c>
      <c r="O380" t="s">
        <v>23</v>
      </c>
      <c r="P380" t="s">
        <v>64</v>
      </c>
    </row>
    <row r="381" spans="1:16" x14ac:dyDescent="0.25">
      <c r="A381">
        <v>100380</v>
      </c>
      <c r="B381" s="1">
        <v>46051</v>
      </c>
      <c r="C381" t="s">
        <v>35</v>
      </c>
      <c r="D381" t="s">
        <v>36</v>
      </c>
      <c r="E381" t="s">
        <v>18</v>
      </c>
      <c r="F381" t="s">
        <v>27</v>
      </c>
      <c r="G381" t="s">
        <v>33</v>
      </c>
      <c r="H381" t="s">
        <v>172</v>
      </c>
      <c r="I381" t="s">
        <v>30</v>
      </c>
      <c r="J381">
        <v>2</v>
      </c>
      <c r="K381">
        <v>32000</v>
      </c>
      <c r="L381">
        <v>0.15</v>
      </c>
      <c r="M381">
        <v>54400</v>
      </c>
      <c r="N381">
        <v>19000</v>
      </c>
      <c r="O381" t="s">
        <v>23</v>
      </c>
      <c r="P381" t="s">
        <v>31</v>
      </c>
    </row>
    <row r="382" spans="1:16" x14ac:dyDescent="0.25">
      <c r="A382">
        <v>100381</v>
      </c>
      <c r="B382" s="1">
        <v>46115</v>
      </c>
      <c r="C382" t="s">
        <v>55</v>
      </c>
      <c r="D382" t="s">
        <v>56</v>
      </c>
      <c r="E382" t="s">
        <v>43</v>
      </c>
      <c r="F382" t="s">
        <v>44</v>
      </c>
      <c r="G382" t="s">
        <v>60</v>
      </c>
      <c r="H382" t="s">
        <v>107</v>
      </c>
      <c r="I382" t="s">
        <v>30</v>
      </c>
      <c r="J382">
        <v>2</v>
      </c>
      <c r="K382">
        <v>9000</v>
      </c>
      <c r="L382">
        <v>0.05</v>
      </c>
      <c r="M382">
        <v>17100</v>
      </c>
      <c r="N382">
        <v>3500</v>
      </c>
      <c r="O382" t="s">
        <v>23</v>
      </c>
      <c r="P382" t="s">
        <v>31</v>
      </c>
    </row>
    <row r="383" spans="1:16" x14ac:dyDescent="0.25">
      <c r="A383">
        <v>100382</v>
      </c>
      <c r="B383" s="1">
        <v>46249</v>
      </c>
      <c r="C383" t="s">
        <v>55</v>
      </c>
      <c r="D383" t="s">
        <v>56</v>
      </c>
      <c r="E383" t="s">
        <v>37</v>
      </c>
      <c r="F383" t="s">
        <v>19</v>
      </c>
      <c r="G383" t="s">
        <v>52</v>
      </c>
      <c r="H383" t="s">
        <v>165</v>
      </c>
      <c r="I383" t="s">
        <v>22</v>
      </c>
      <c r="J383">
        <v>4</v>
      </c>
      <c r="K383">
        <v>42000</v>
      </c>
      <c r="L383">
        <v>0.15</v>
      </c>
      <c r="M383">
        <v>142800</v>
      </c>
      <c r="N383">
        <v>28000</v>
      </c>
      <c r="O383" t="s">
        <v>23</v>
      </c>
      <c r="P383" t="s">
        <v>84</v>
      </c>
    </row>
    <row r="384" spans="1:16" x14ac:dyDescent="0.25">
      <c r="A384">
        <v>100383</v>
      </c>
      <c r="B384" s="1">
        <v>46073</v>
      </c>
      <c r="C384" t="s">
        <v>25</v>
      </c>
      <c r="D384" t="s">
        <v>26</v>
      </c>
      <c r="E384" t="s">
        <v>43</v>
      </c>
      <c r="F384" t="s">
        <v>44</v>
      </c>
      <c r="G384" t="s">
        <v>45</v>
      </c>
      <c r="H384" t="s">
        <v>234</v>
      </c>
      <c r="I384" t="s">
        <v>30</v>
      </c>
      <c r="J384">
        <v>22</v>
      </c>
      <c r="K384">
        <v>6500</v>
      </c>
      <c r="L384">
        <v>0</v>
      </c>
      <c r="M384">
        <v>143000</v>
      </c>
      <c r="N384">
        <v>2200</v>
      </c>
      <c r="O384" t="s">
        <v>23</v>
      </c>
      <c r="P384" t="s">
        <v>58</v>
      </c>
    </row>
    <row r="385" spans="1:16" x14ac:dyDescent="0.25">
      <c r="A385">
        <v>100384</v>
      </c>
      <c r="B385" s="1">
        <v>46227</v>
      </c>
      <c r="C385" t="s">
        <v>50</v>
      </c>
      <c r="D385" t="s">
        <v>51</v>
      </c>
      <c r="E385" t="s">
        <v>37</v>
      </c>
      <c r="F385" t="s">
        <v>19</v>
      </c>
      <c r="G385" t="s">
        <v>62</v>
      </c>
      <c r="H385" t="s">
        <v>178</v>
      </c>
      <c r="I385" t="s">
        <v>30</v>
      </c>
      <c r="J385">
        <v>3</v>
      </c>
      <c r="K385">
        <v>24000</v>
      </c>
      <c r="L385">
        <v>0.05</v>
      </c>
      <c r="M385">
        <v>68400</v>
      </c>
      <c r="N385">
        <v>15000</v>
      </c>
      <c r="O385" t="s">
        <v>23</v>
      </c>
      <c r="P385" t="s">
        <v>64</v>
      </c>
    </row>
    <row r="386" spans="1:16" x14ac:dyDescent="0.25">
      <c r="A386">
        <v>100385</v>
      </c>
      <c r="B386" s="1">
        <v>46205</v>
      </c>
      <c r="C386" t="s">
        <v>42</v>
      </c>
      <c r="D386" t="s">
        <v>26</v>
      </c>
      <c r="E386" t="s">
        <v>43</v>
      </c>
      <c r="F386" t="s">
        <v>27</v>
      </c>
      <c r="G386" t="s">
        <v>28</v>
      </c>
      <c r="H386" t="s">
        <v>53</v>
      </c>
      <c r="I386" t="s">
        <v>30</v>
      </c>
      <c r="J386">
        <v>3</v>
      </c>
      <c r="K386">
        <v>165000</v>
      </c>
      <c r="L386">
        <v>0</v>
      </c>
      <c r="M386">
        <v>495000</v>
      </c>
      <c r="N386">
        <v>112000</v>
      </c>
      <c r="O386" t="s">
        <v>23</v>
      </c>
      <c r="P386" t="s">
        <v>31</v>
      </c>
    </row>
    <row r="387" spans="1:16" x14ac:dyDescent="0.25">
      <c r="A387">
        <v>100386</v>
      </c>
      <c r="B387" s="1">
        <v>46049</v>
      </c>
      <c r="C387" t="s">
        <v>25</v>
      </c>
      <c r="D387" t="s">
        <v>26</v>
      </c>
      <c r="E387" t="s">
        <v>18</v>
      </c>
      <c r="F387" t="s">
        <v>44</v>
      </c>
      <c r="G387" t="s">
        <v>60</v>
      </c>
      <c r="H387" t="s">
        <v>98</v>
      </c>
      <c r="I387" t="s">
        <v>22</v>
      </c>
      <c r="J387">
        <v>3</v>
      </c>
      <c r="K387">
        <v>9000</v>
      </c>
      <c r="L387">
        <v>0</v>
      </c>
      <c r="M387">
        <v>27000</v>
      </c>
      <c r="N387">
        <v>3500</v>
      </c>
      <c r="O387" t="s">
        <v>23</v>
      </c>
      <c r="P387" t="s">
        <v>64</v>
      </c>
    </row>
    <row r="388" spans="1:16" x14ac:dyDescent="0.25">
      <c r="A388">
        <v>100387</v>
      </c>
      <c r="B388" s="1">
        <v>46231</v>
      </c>
      <c r="C388" t="s">
        <v>50</v>
      </c>
      <c r="D388" t="s">
        <v>51</v>
      </c>
      <c r="E388" t="s">
        <v>43</v>
      </c>
      <c r="F388" t="s">
        <v>27</v>
      </c>
      <c r="G388" t="s">
        <v>33</v>
      </c>
      <c r="H388" t="s">
        <v>235</v>
      </c>
      <c r="I388" t="s">
        <v>30</v>
      </c>
      <c r="J388">
        <v>4</v>
      </c>
      <c r="K388">
        <v>32000</v>
      </c>
      <c r="L388">
        <v>0.1</v>
      </c>
      <c r="M388">
        <v>115200</v>
      </c>
      <c r="N388">
        <v>19000</v>
      </c>
      <c r="O388" t="s">
        <v>23</v>
      </c>
      <c r="P388" t="s">
        <v>31</v>
      </c>
    </row>
    <row r="389" spans="1:16" x14ac:dyDescent="0.25">
      <c r="A389">
        <v>100388</v>
      </c>
      <c r="B389" s="1">
        <v>46259</v>
      </c>
      <c r="C389" t="s">
        <v>55</v>
      </c>
      <c r="D389" t="s">
        <v>56</v>
      </c>
      <c r="E389" t="s">
        <v>43</v>
      </c>
      <c r="F389" t="s">
        <v>27</v>
      </c>
      <c r="G389" t="s">
        <v>33</v>
      </c>
      <c r="H389" t="s">
        <v>229</v>
      </c>
      <c r="I389" t="s">
        <v>30</v>
      </c>
      <c r="J389">
        <v>1</v>
      </c>
      <c r="K389">
        <v>32000</v>
      </c>
      <c r="L389">
        <v>0</v>
      </c>
      <c r="M389">
        <v>32000</v>
      </c>
      <c r="N389">
        <v>19000</v>
      </c>
      <c r="O389" t="s">
        <v>23</v>
      </c>
      <c r="P389" t="s">
        <v>47</v>
      </c>
    </row>
    <row r="390" spans="1:16" x14ac:dyDescent="0.25">
      <c r="A390">
        <v>100389</v>
      </c>
      <c r="B390" s="1">
        <v>46190</v>
      </c>
      <c r="C390" t="s">
        <v>50</v>
      </c>
      <c r="D390" t="s">
        <v>51</v>
      </c>
      <c r="E390" t="s">
        <v>43</v>
      </c>
      <c r="F390" t="s">
        <v>19</v>
      </c>
      <c r="G390" t="s">
        <v>62</v>
      </c>
      <c r="H390" t="s">
        <v>34</v>
      </c>
      <c r="I390" t="s">
        <v>22</v>
      </c>
      <c r="J390">
        <v>1</v>
      </c>
      <c r="K390">
        <v>24000</v>
      </c>
      <c r="L390">
        <v>0.05</v>
      </c>
      <c r="M390">
        <v>22800</v>
      </c>
      <c r="N390">
        <v>15000</v>
      </c>
      <c r="O390" t="s">
        <v>23</v>
      </c>
      <c r="P390" t="s">
        <v>84</v>
      </c>
    </row>
    <row r="391" spans="1:16" x14ac:dyDescent="0.25">
      <c r="A391">
        <v>100390</v>
      </c>
      <c r="B391" s="1">
        <v>46240</v>
      </c>
      <c r="C391" t="s">
        <v>35</v>
      </c>
      <c r="D391" t="s">
        <v>36</v>
      </c>
      <c r="E391" t="s">
        <v>18</v>
      </c>
      <c r="F391" t="s">
        <v>19</v>
      </c>
      <c r="G391" t="s">
        <v>20</v>
      </c>
      <c r="H391" t="s">
        <v>227</v>
      </c>
      <c r="I391" t="s">
        <v>30</v>
      </c>
      <c r="J391">
        <v>2</v>
      </c>
      <c r="K391">
        <v>58000</v>
      </c>
      <c r="L391">
        <v>0.1</v>
      </c>
      <c r="M391">
        <v>104400</v>
      </c>
      <c r="N391">
        <v>39000</v>
      </c>
      <c r="O391" t="s">
        <v>23</v>
      </c>
      <c r="P391" t="s">
        <v>64</v>
      </c>
    </row>
    <row r="392" spans="1:16" x14ac:dyDescent="0.25">
      <c r="A392">
        <v>100391</v>
      </c>
      <c r="B392" s="1">
        <v>46125</v>
      </c>
      <c r="C392" t="s">
        <v>35</v>
      </c>
      <c r="D392" t="s">
        <v>36</v>
      </c>
      <c r="E392" t="s">
        <v>37</v>
      </c>
      <c r="F392" t="s">
        <v>44</v>
      </c>
      <c r="G392" t="s">
        <v>60</v>
      </c>
      <c r="H392" t="s">
        <v>133</v>
      </c>
      <c r="I392" t="s">
        <v>22</v>
      </c>
      <c r="J392">
        <v>1</v>
      </c>
      <c r="K392">
        <v>9000</v>
      </c>
      <c r="L392">
        <v>0.05</v>
      </c>
      <c r="M392">
        <v>8550</v>
      </c>
      <c r="N392">
        <v>3500</v>
      </c>
      <c r="O392" t="s">
        <v>23</v>
      </c>
      <c r="P392" t="s">
        <v>58</v>
      </c>
    </row>
    <row r="393" spans="1:16" x14ac:dyDescent="0.25">
      <c r="A393">
        <v>100392</v>
      </c>
      <c r="B393" s="1">
        <v>46178</v>
      </c>
      <c r="C393" t="s">
        <v>42</v>
      </c>
      <c r="D393" t="s">
        <v>26</v>
      </c>
      <c r="E393" t="s">
        <v>43</v>
      </c>
      <c r="F393" t="s">
        <v>44</v>
      </c>
      <c r="G393" t="s">
        <v>45</v>
      </c>
      <c r="H393" t="s">
        <v>161</v>
      </c>
      <c r="I393" t="s">
        <v>22</v>
      </c>
      <c r="J393">
        <v>2</v>
      </c>
      <c r="K393">
        <v>6500</v>
      </c>
      <c r="L393">
        <v>0.15</v>
      </c>
      <c r="M393">
        <v>11050</v>
      </c>
      <c r="N393">
        <v>2200</v>
      </c>
      <c r="O393" t="s">
        <v>23</v>
      </c>
      <c r="P393" t="s">
        <v>58</v>
      </c>
    </row>
    <row r="394" spans="1:16" x14ac:dyDescent="0.25">
      <c r="A394">
        <v>100393</v>
      </c>
      <c r="B394" s="1">
        <v>46039</v>
      </c>
      <c r="C394" t="s">
        <v>35</v>
      </c>
      <c r="D394" t="s">
        <v>36</v>
      </c>
      <c r="E394" t="s">
        <v>37</v>
      </c>
      <c r="F394" t="s">
        <v>44</v>
      </c>
      <c r="G394" t="s">
        <v>45</v>
      </c>
      <c r="H394" t="s">
        <v>93</v>
      </c>
      <c r="I394" t="s">
        <v>30</v>
      </c>
      <c r="J394">
        <v>2</v>
      </c>
      <c r="K394">
        <v>6500</v>
      </c>
      <c r="L394">
        <v>0.1</v>
      </c>
      <c r="M394">
        <v>11700</v>
      </c>
      <c r="N394">
        <v>2200</v>
      </c>
      <c r="O394" t="s">
        <v>23</v>
      </c>
      <c r="P394" t="s">
        <v>24</v>
      </c>
    </row>
    <row r="395" spans="1:16" x14ac:dyDescent="0.25">
      <c r="A395">
        <v>100394</v>
      </c>
      <c r="B395" s="1">
        <v>46255</v>
      </c>
      <c r="C395" t="s">
        <v>25</v>
      </c>
      <c r="D395" t="s">
        <v>26</v>
      </c>
      <c r="E395" t="s">
        <v>37</v>
      </c>
      <c r="F395" t="s">
        <v>44</v>
      </c>
      <c r="G395" t="s">
        <v>60</v>
      </c>
      <c r="H395" t="s">
        <v>236</v>
      </c>
      <c r="I395" t="s">
        <v>30</v>
      </c>
      <c r="J395">
        <v>3</v>
      </c>
      <c r="K395">
        <v>9000</v>
      </c>
      <c r="L395">
        <v>0.05</v>
      </c>
      <c r="M395">
        <v>25650</v>
      </c>
      <c r="N395">
        <v>3500</v>
      </c>
      <c r="O395" t="s">
        <v>23</v>
      </c>
      <c r="P395" t="s">
        <v>84</v>
      </c>
    </row>
    <row r="396" spans="1:16" x14ac:dyDescent="0.25">
      <c r="A396">
        <v>100395</v>
      </c>
      <c r="B396" s="1">
        <v>46151</v>
      </c>
      <c r="C396" t="s">
        <v>35</v>
      </c>
      <c r="D396" t="s">
        <v>36</v>
      </c>
      <c r="E396" t="s">
        <v>18</v>
      </c>
      <c r="F396" t="s">
        <v>44</v>
      </c>
      <c r="G396" t="s">
        <v>65</v>
      </c>
      <c r="H396" t="s">
        <v>86</v>
      </c>
      <c r="I396" t="s">
        <v>30</v>
      </c>
      <c r="J396">
        <v>2</v>
      </c>
      <c r="K396">
        <v>28000</v>
      </c>
      <c r="L396">
        <v>0.05</v>
      </c>
      <c r="M396">
        <v>53200</v>
      </c>
      <c r="N396">
        <v>16000</v>
      </c>
      <c r="O396" t="s">
        <v>23</v>
      </c>
      <c r="P396" t="s">
        <v>84</v>
      </c>
    </row>
    <row r="397" spans="1:16" x14ac:dyDescent="0.25">
      <c r="A397">
        <v>100396</v>
      </c>
      <c r="B397" s="1">
        <v>46048</v>
      </c>
      <c r="C397" t="s">
        <v>32</v>
      </c>
      <c r="D397" t="s">
        <v>17</v>
      </c>
      <c r="E397" t="s">
        <v>43</v>
      </c>
      <c r="F397" t="s">
        <v>19</v>
      </c>
      <c r="G397" t="s">
        <v>62</v>
      </c>
      <c r="H397" t="s">
        <v>90</v>
      </c>
      <c r="I397" t="s">
        <v>30</v>
      </c>
      <c r="J397">
        <v>1</v>
      </c>
      <c r="K397">
        <v>24000</v>
      </c>
      <c r="L397">
        <v>0.2</v>
      </c>
      <c r="M397">
        <v>19200</v>
      </c>
      <c r="N397">
        <v>15000</v>
      </c>
      <c r="O397" t="s">
        <v>23</v>
      </c>
      <c r="P397" t="s">
        <v>47</v>
      </c>
    </row>
    <row r="398" spans="1:16" x14ac:dyDescent="0.25">
      <c r="A398">
        <v>100397</v>
      </c>
      <c r="B398" s="1">
        <v>46190</v>
      </c>
      <c r="C398" t="s">
        <v>42</v>
      </c>
      <c r="D398" t="s">
        <v>26</v>
      </c>
      <c r="E398" t="s">
        <v>18</v>
      </c>
      <c r="F398" t="s">
        <v>27</v>
      </c>
      <c r="G398" t="s">
        <v>28</v>
      </c>
      <c r="H398" t="s">
        <v>111</v>
      </c>
      <c r="I398" t="s">
        <v>22</v>
      </c>
      <c r="J398">
        <v>3</v>
      </c>
      <c r="K398">
        <v>165000</v>
      </c>
      <c r="L398">
        <v>0</v>
      </c>
      <c r="M398">
        <v>495000</v>
      </c>
      <c r="N398">
        <v>112000</v>
      </c>
      <c r="O398" t="s">
        <v>23</v>
      </c>
      <c r="P398" t="s">
        <v>40</v>
      </c>
    </row>
    <row r="399" spans="1:16" x14ac:dyDescent="0.25">
      <c r="A399">
        <v>100398</v>
      </c>
      <c r="B399" s="1">
        <v>46218</v>
      </c>
      <c r="C399" t="s">
        <v>25</v>
      </c>
      <c r="D399" t="s">
        <v>26</v>
      </c>
      <c r="E399" t="s">
        <v>43</v>
      </c>
      <c r="F399" t="s">
        <v>19</v>
      </c>
      <c r="G399" t="s">
        <v>20</v>
      </c>
      <c r="H399" t="s">
        <v>69</v>
      </c>
      <c r="I399" t="s">
        <v>30</v>
      </c>
      <c r="J399">
        <v>4</v>
      </c>
      <c r="K399">
        <v>58000</v>
      </c>
      <c r="L399">
        <v>0</v>
      </c>
      <c r="M399">
        <v>232000</v>
      </c>
      <c r="N399">
        <v>39000</v>
      </c>
      <c r="O399" t="s">
        <v>23</v>
      </c>
      <c r="P399" t="s">
        <v>40</v>
      </c>
    </row>
    <row r="400" spans="1:16" x14ac:dyDescent="0.25">
      <c r="A400">
        <v>100399</v>
      </c>
      <c r="B400" s="1">
        <v>46173</v>
      </c>
      <c r="C400" t="s">
        <v>35</v>
      </c>
      <c r="D400" t="s">
        <v>36</v>
      </c>
      <c r="E400" t="s">
        <v>37</v>
      </c>
      <c r="F400" t="s">
        <v>27</v>
      </c>
      <c r="G400" t="s">
        <v>38</v>
      </c>
      <c r="H400" t="s">
        <v>129</v>
      </c>
      <c r="I400" t="s">
        <v>30</v>
      </c>
      <c r="J400">
        <v>2</v>
      </c>
      <c r="K400">
        <v>26000</v>
      </c>
      <c r="L400">
        <v>0.1</v>
      </c>
      <c r="M400">
        <v>46800</v>
      </c>
      <c r="N400">
        <v>15000</v>
      </c>
      <c r="O400" t="s">
        <v>23</v>
      </c>
      <c r="P400" t="s">
        <v>24</v>
      </c>
    </row>
    <row r="401" spans="1:16" x14ac:dyDescent="0.25">
      <c r="A401">
        <v>100400</v>
      </c>
      <c r="B401" s="1">
        <v>46141</v>
      </c>
      <c r="C401" t="s">
        <v>50</v>
      </c>
      <c r="D401" t="s">
        <v>51</v>
      </c>
      <c r="E401" t="s">
        <v>18</v>
      </c>
      <c r="F401" t="s">
        <v>19</v>
      </c>
      <c r="G401" t="s">
        <v>20</v>
      </c>
      <c r="H401" t="s">
        <v>111</v>
      </c>
      <c r="I401" t="s">
        <v>22</v>
      </c>
      <c r="J401">
        <v>1</v>
      </c>
      <c r="K401">
        <v>58000</v>
      </c>
      <c r="L401">
        <v>0</v>
      </c>
      <c r="M401">
        <v>58000</v>
      </c>
      <c r="N401">
        <v>39000</v>
      </c>
      <c r="O401" t="s">
        <v>23</v>
      </c>
      <c r="P401" t="s">
        <v>84</v>
      </c>
    </row>
    <row r="402" spans="1:16" x14ac:dyDescent="0.25">
      <c r="A402">
        <v>100401</v>
      </c>
      <c r="B402" s="1">
        <v>46168</v>
      </c>
      <c r="C402" t="s">
        <v>50</v>
      </c>
      <c r="D402" t="s">
        <v>51</v>
      </c>
      <c r="E402" t="s">
        <v>37</v>
      </c>
      <c r="F402" t="s">
        <v>27</v>
      </c>
      <c r="G402" t="s">
        <v>28</v>
      </c>
      <c r="H402" t="s">
        <v>173</v>
      </c>
      <c r="I402" t="s">
        <v>30</v>
      </c>
      <c r="J402">
        <v>3</v>
      </c>
      <c r="K402">
        <v>165000</v>
      </c>
      <c r="L402">
        <v>0</v>
      </c>
      <c r="M402">
        <v>495000</v>
      </c>
      <c r="N402">
        <v>112000</v>
      </c>
      <c r="O402" t="s">
        <v>76</v>
      </c>
      <c r="P402" t="s">
        <v>54</v>
      </c>
    </row>
    <row r="403" spans="1:16" x14ac:dyDescent="0.25">
      <c r="A403">
        <v>100402</v>
      </c>
      <c r="B403" s="1">
        <v>46043</v>
      </c>
      <c r="C403" t="s">
        <v>50</v>
      </c>
      <c r="D403" t="s">
        <v>51</v>
      </c>
      <c r="E403" t="s">
        <v>18</v>
      </c>
      <c r="F403" t="s">
        <v>27</v>
      </c>
      <c r="G403" t="s">
        <v>28</v>
      </c>
      <c r="H403" t="s">
        <v>154</v>
      </c>
      <c r="I403" t="s">
        <v>30</v>
      </c>
      <c r="J403">
        <v>1</v>
      </c>
      <c r="K403">
        <v>165000</v>
      </c>
      <c r="L403">
        <v>0.1</v>
      </c>
      <c r="M403">
        <v>148500</v>
      </c>
      <c r="N403">
        <v>112000</v>
      </c>
      <c r="O403" t="s">
        <v>23</v>
      </c>
      <c r="P403" t="s">
        <v>84</v>
      </c>
    </row>
    <row r="404" spans="1:16" x14ac:dyDescent="0.25">
      <c r="A404">
        <v>100403</v>
      </c>
      <c r="B404" s="1">
        <v>46136</v>
      </c>
      <c r="C404" t="s">
        <v>55</v>
      </c>
      <c r="D404" t="s">
        <v>56</v>
      </c>
      <c r="E404" t="s">
        <v>43</v>
      </c>
      <c r="F404" t="s">
        <v>19</v>
      </c>
      <c r="G404" t="s">
        <v>52</v>
      </c>
      <c r="H404" t="s">
        <v>160</v>
      </c>
      <c r="I404" t="s">
        <v>22</v>
      </c>
      <c r="J404">
        <v>3</v>
      </c>
      <c r="K404">
        <v>42000</v>
      </c>
      <c r="L404">
        <v>0.05</v>
      </c>
      <c r="M404">
        <v>95760</v>
      </c>
      <c r="N404">
        <v>28000</v>
      </c>
      <c r="O404" t="s">
        <v>23</v>
      </c>
      <c r="P404" t="s">
        <v>54</v>
      </c>
    </row>
    <row r="405" spans="1:16" x14ac:dyDescent="0.25">
      <c r="A405">
        <v>100404</v>
      </c>
      <c r="B405" s="1">
        <v>46164</v>
      </c>
      <c r="C405" t="s">
        <v>35</v>
      </c>
      <c r="D405" t="s">
        <v>36</v>
      </c>
      <c r="E405" t="s">
        <v>37</v>
      </c>
      <c r="F405" t="s">
        <v>19</v>
      </c>
      <c r="G405" t="s">
        <v>52</v>
      </c>
      <c r="H405" t="s">
        <v>68</v>
      </c>
      <c r="I405" t="s">
        <v>30</v>
      </c>
      <c r="J405">
        <v>1</v>
      </c>
      <c r="K405">
        <v>42000</v>
      </c>
      <c r="L405">
        <v>0</v>
      </c>
      <c r="M405">
        <v>42000</v>
      </c>
      <c r="N405">
        <v>28000</v>
      </c>
      <c r="O405" t="s">
        <v>23</v>
      </c>
      <c r="P405" t="s">
        <v>54</v>
      </c>
    </row>
    <row r="406" spans="1:16" x14ac:dyDescent="0.25">
      <c r="A406">
        <v>100405</v>
      </c>
      <c r="B406" s="1">
        <v>46152</v>
      </c>
      <c r="C406" t="s">
        <v>55</v>
      </c>
      <c r="D406" t="s">
        <v>56</v>
      </c>
      <c r="E406" t="s">
        <v>37</v>
      </c>
      <c r="F406" t="s">
        <v>19</v>
      </c>
      <c r="G406" t="s">
        <v>52</v>
      </c>
      <c r="H406" t="s">
        <v>208</v>
      </c>
      <c r="I406" t="s">
        <v>22</v>
      </c>
      <c r="J406">
        <v>3</v>
      </c>
      <c r="K406">
        <v>42000</v>
      </c>
      <c r="L406">
        <v>0</v>
      </c>
      <c r="M406">
        <v>126000</v>
      </c>
      <c r="N406">
        <v>28000</v>
      </c>
      <c r="O406" t="s">
        <v>76</v>
      </c>
      <c r="P406" t="s">
        <v>40</v>
      </c>
    </row>
    <row r="407" spans="1:16" x14ac:dyDescent="0.25">
      <c r="A407">
        <v>100406</v>
      </c>
      <c r="B407" s="1">
        <v>46214</v>
      </c>
      <c r="C407" t="s">
        <v>16</v>
      </c>
      <c r="D407" t="s">
        <v>17</v>
      </c>
      <c r="E407" t="s">
        <v>37</v>
      </c>
      <c r="F407" t="s">
        <v>27</v>
      </c>
      <c r="G407" t="s">
        <v>38</v>
      </c>
      <c r="H407" t="s">
        <v>217</v>
      </c>
      <c r="I407" t="s">
        <v>22</v>
      </c>
      <c r="J407">
        <v>1</v>
      </c>
      <c r="K407">
        <v>26000</v>
      </c>
      <c r="L407">
        <v>0</v>
      </c>
      <c r="M407">
        <v>26000</v>
      </c>
      <c r="N407">
        <v>15000</v>
      </c>
      <c r="O407" t="s">
        <v>23</v>
      </c>
      <c r="P407" t="s">
        <v>64</v>
      </c>
    </row>
    <row r="408" spans="1:16" x14ac:dyDescent="0.25">
      <c r="A408">
        <v>100407</v>
      </c>
      <c r="B408" s="1">
        <v>46222</v>
      </c>
      <c r="C408" t="s">
        <v>42</v>
      </c>
      <c r="D408" t="s">
        <v>26</v>
      </c>
      <c r="E408" t="s">
        <v>43</v>
      </c>
      <c r="F408" t="s">
        <v>27</v>
      </c>
      <c r="G408" t="s">
        <v>33</v>
      </c>
      <c r="H408" t="s">
        <v>201</v>
      </c>
      <c r="I408" t="s">
        <v>30</v>
      </c>
      <c r="J408">
        <v>2</v>
      </c>
      <c r="K408">
        <v>32000</v>
      </c>
      <c r="L408">
        <v>0.1</v>
      </c>
      <c r="M408">
        <v>57600</v>
      </c>
      <c r="N408">
        <v>19000</v>
      </c>
      <c r="O408" t="s">
        <v>23</v>
      </c>
      <c r="P408" t="s">
        <v>31</v>
      </c>
    </row>
    <row r="409" spans="1:16" x14ac:dyDescent="0.25">
      <c r="A409">
        <v>100408</v>
      </c>
      <c r="B409" s="1">
        <v>46139</v>
      </c>
      <c r="C409" t="s">
        <v>35</v>
      </c>
      <c r="D409" t="s">
        <v>36</v>
      </c>
      <c r="E409" t="s">
        <v>37</v>
      </c>
      <c r="F409" t="s">
        <v>27</v>
      </c>
      <c r="G409" t="s">
        <v>28</v>
      </c>
      <c r="H409" t="s">
        <v>93</v>
      </c>
      <c r="I409" t="s">
        <v>30</v>
      </c>
      <c r="J409">
        <v>1</v>
      </c>
      <c r="K409">
        <v>165000</v>
      </c>
      <c r="L409">
        <v>0.15</v>
      </c>
      <c r="M409">
        <v>140250</v>
      </c>
      <c r="N409">
        <v>112000</v>
      </c>
      <c r="O409" t="s">
        <v>23</v>
      </c>
      <c r="P409" t="s">
        <v>31</v>
      </c>
    </row>
    <row r="410" spans="1:16" x14ac:dyDescent="0.25">
      <c r="A410">
        <v>100409</v>
      </c>
      <c r="B410" s="1">
        <v>46180</v>
      </c>
      <c r="C410" t="s">
        <v>35</v>
      </c>
      <c r="D410" t="s">
        <v>36</v>
      </c>
      <c r="E410" t="s">
        <v>37</v>
      </c>
      <c r="F410" t="s">
        <v>44</v>
      </c>
      <c r="G410" t="s">
        <v>45</v>
      </c>
      <c r="H410" t="s">
        <v>96</v>
      </c>
      <c r="I410" t="s">
        <v>30</v>
      </c>
      <c r="J410">
        <v>2</v>
      </c>
      <c r="K410">
        <v>6500</v>
      </c>
      <c r="L410">
        <v>0.1</v>
      </c>
      <c r="M410">
        <v>11700</v>
      </c>
      <c r="O410" t="s">
        <v>23</v>
      </c>
      <c r="P410" t="s">
        <v>47</v>
      </c>
    </row>
    <row r="411" spans="1:16" x14ac:dyDescent="0.25">
      <c r="A411">
        <v>100410</v>
      </c>
      <c r="B411" s="1">
        <v>46137</v>
      </c>
      <c r="C411" t="s">
        <v>55</v>
      </c>
      <c r="D411" t="s">
        <v>56</v>
      </c>
      <c r="E411" t="s">
        <v>18</v>
      </c>
      <c r="F411" t="s">
        <v>27</v>
      </c>
      <c r="G411" t="s">
        <v>33</v>
      </c>
      <c r="H411" t="s">
        <v>124</v>
      </c>
      <c r="I411" t="s">
        <v>30</v>
      </c>
      <c r="J411">
        <v>1</v>
      </c>
      <c r="K411">
        <v>32000</v>
      </c>
      <c r="L411">
        <v>0.15</v>
      </c>
      <c r="M411">
        <v>27200</v>
      </c>
      <c r="N411">
        <v>19000</v>
      </c>
      <c r="O411" t="s">
        <v>23</v>
      </c>
      <c r="P411" t="s">
        <v>40</v>
      </c>
    </row>
    <row r="412" spans="1:16" x14ac:dyDescent="0.25">
      <c r="A412">
        <v>100411</v>
      </c>
      <c r="B412" s="1">
        <v>46080</v>
      </c>
      <c r="C412" t="s">
        <v>32</v>
      </c>
      <c r="D412" t="s">
        <v>17</v>
      </c>
      <c r="E412" t="s">
        <v>37</v>
      </c>
      <c r="F412" t="s">
        <v>19</v>
      </c>
      <c r="G412" t="s">
        <v>20</v>
      </c>
      <c r="H412" t="s">
        <v>225</v>
      </c>
      <c r="I412" t="s">
        <v>30</v>
      </c>
      <c r="J412">
        <v>2</v>
      </c>
      <c r="K412">
        <v>58000</v>
      </c>
      <c r="L412">
        <v>0.2</v>
      </c>
      <c r="M412">
        <v>92800</v>
      </c>
      <c r="N412">
        <v>39000</v>
      </c>
      <c r="O412" t="s">
        <v>76</v>
      </c>
      <c r="P412" t="s">
        <v>31</v>
      </c>
    </row>
    <row r="413" spans="1:16" x14ac:dyDescent="0.25">
      <c r="A413">
        <v>100412</v>
      </c>
      <c r="B413" s="1">
        <v>46194</v>
      </c>
      <c r="C413" t="s">
        <v>50</v>
      </c>
      <c r="D413" t="s">
        <v>51</v>
      </c>
      <c r="E413" t="s">
        <v>37</v>
      </c>
      <c r="F413" t="s">
        <v>27</v>
      </c>
      <c r="G413" t="s">
        <v>28</v>
      </c>
      <c r="H413" t="s">
        <v>77</v>
      </c>
      <c r="I413" t="s">
        <v>30</v>
      </c>
      <c r="J413">
        <v>5</v>
      </c>
      <c r="K413">
        <v>165000</v>
      </c>
      <c r="L413">
        <v>0.1</v>
      </c>
      <c r="M413">
        <v>742500</v>
      </c>
      <c r="N413">
        <v>112000</v>
      </c>
      <c r="O413" t="s">
        <v>23</v>
      </c>
      <c r="P413" t="s">
        <v>84</v>
      </c>
    </row>
    <row r="414" spans="1:16" x14ac:dyDescent="0.25">
      <c r="A414">
        <v>100413</v>
      </c>
      <c r="B414" s="1">
        <v>46177</v>
      </c>
      <c r="C414" t="s">
        <v>55</v>
      </c>
      <c r="D414" t="s">
        <v>56</v>
      </c>
      <c r="E414" t="s">
        <v>43</v>
      </c>
      <c r="F414" t="s">
        <v>19</v>
      </c>
      <c r="G414" t="s">
        <v>20</v>
      </c>
      <c r="H414" t="s">
        <v>97</v>
      </c>
      <c r="I414" t="s">
        <v>22</v>
      </c>
      <c r="J414">
        <v>2</v>
      </c>
      <c r="K414">
        <v>58000</v>
      </c>
      <c r="L414">
        <v>0</v>
      </c>
      <c r="M414">
        <v>116000</v>
      </c>
      <c r="N414">
        <v>39000</v>
      </c>
      <c r="O414" t="s">
        <v>23</v>
      </c>
      <c r="P414" t="s">
        <v>24</v>
      </c>
    </row>
    <row r="415" spans="1:16" x14ac:dyDescent="0.25">
      <c r="A415">
        <v>100414</v>
      </c>
      <c r="B415" s="1">
        <v>46096</v>
      </c>
      <c r="C415" t="s">
        <v>50</v>
      </c>
      <c r="D415" t="s">
        <v>51</v>
      </c>
      <c r="E415" t="s">
        <v>43</v>
      </c>
      <c r="F415" t="s">
        <v>19</v>
      </c>
      <c r="G415" t="s">
        <v>52</v>
      </c>
      <c r="H415" t="s">
        <v>182</v>
      </c>
      <c r="I415" t="s">
        <v>30</v>
      </c>
      <c r="J415">
        <v>1</v>
      </c>
      <c r="K415">
        <v>42000</v>
      </c>
      <c r="L415">
        <v>0.1</v>
      </c>
      <c r="M415">
        <v>37800</v>
      </c>
      <c r="N415">
        <v>28000</v>
      </c>
      <c r="O415" t="s">
        <v>23</v>
      </c>
      <c r="P415" t="s">
        <v>84</v>
      </c>
    </row>
    <row r="416" spans="1:16" x14ac:dyDescent="0.25">
      <c r="A416">
        <v>100415</v>
      </c>
      <c r="B416" s="1">
        <v>46119</v>
      </c>
      <c r="C416" t="s">
        <v>25</v>
      </c>
      <c r="D416" t="s">
        <v>26</v>
      </c>
      <c r="E416" t="s">
        <v>43</v>
      </c>
      <c r="F416" t="s">
        <v>44</v>
      </c>
      <c r="G416" t="s">
        <v>45</v>
      </c>
      <c r="H416" t="s">
        <v>119</v>
      </c>
      <c r="I416" t="s">
        <v>30</v>
      </c>
      <c r="J416">
        <v>2</v>
      </c>
      <c r="K416">
        <v>6500</v>
      </c>
      <c r="L416">
        <v>0.05</v>
      </c>
      <c r="M416">
        <v>12350</v>
      </c>
      <c r="N416">
        <v>2200</v>
      </c>
      <c r="O416" t="s">
        <v>23</v>
      </c>
      <c r="P416" t="s">
        <v>47</v>
      </c>
    </row>
    <row r="417" spans="1:16" x14ac:dyDescent="0.25">
      <c r="A417">
        <v>100416</v>
      </c>
      <c r="B417" s="1">
        <v>46028</v>
      </c>
      <c r="C417" t="s">
        <v>55</v>
      </c>
      <c r="D417" t="s">
        <v>56</v>
      </c>
      <c r="E417" t="s">
        <v>18</v>
      </c>
      <c r="F417" t="s">
        <v>27</v>
      </c>
      <c r="G417" t="s">
        <v>38</v>
      </c>
      <c r="H417" t="s">
        <v>237</v>
      </c>
      <c r="I417" t="s">
        <v>22</v>
      </c>
      <c r="J417">
        <v>4</v>
      </c>
      <c r="K417">
        <v>26000</v>
      </c>
      <c r="L417">
        <v>0</v>
      </c>
      <c r="M417">
        <v>104000</v>
      </c>
      <c r="N417">
        <v>15000</v>
      </c>
      <c r="O417" t="s">
        <v>76</v>
      </c>
      <c r="P417" t="s">
        <v>58</v>
      </c>
    </row>
    <row r="418" spans="1:16" x14ac:dyDescent="0.25">
      <c r="A418">
        <v>100417</v>
      </c>
      <c r="B418" s="1">
        <v>46066</v>
      </c>
      <c r="C418" t="s">
        <v>55</v>
      </c>
      <c r="D418" t="s">
        <v>56</v>
      </c>
      <c r="E418" t="s">
        <v>37</v>
      </c>
      <c r="F418" t="s">
        <v>27</v>
      </c>
      <c r="G418" t="s">
        <v>28</v>
      </c>
      <c r="H418" t="s">
        <v>204</v>
      </c>
      <c r="I418" t="s">
        <v>30</v>
      </c>
      <c r="J418">
        <v>4</v>
      </c>
      <c r="K418">
        <v>165000</v>
      </c>
      <c r="L418">
        <v>0.1</v>
      </c>
      <c r="M418">
        <v>594000</v>
      </c>
      <c r="N418">
        <v>112000</v>
      </c>
      <c r="O418" t="s">
        <v>23</v>
      </c>
      <c r="P418" t="s">
        <v>47</v>
      </c>
    </row>
    <row r="419" spans="1:16" x14ac:dyDescent="0.25">
      <c r="A419">
        <v>100418</v>
      </c>
      <c r="B419" s="1">
        <v>46214</v>
      </c>
      <c r="C419" t="s">
        <v>55</v>
      </c>
      <c r="D419" t="s">
        <v>56</v>
      </c>
      <c r="E419" t="s">
        <v>43</v>
      </c>
      <c r="F419" t="s">
        <v>27</v>
      </c>
      <c r="G419" t="s">
        <v>38</v>
      </c>
      <c r="H419" t="s">
        <v>163</v>
      </c>
      <c r="I419" t="s">
        <v>30</v>
      </c>
      <c r="J419">
        <v>3</v>
      </c>
      <c r="K419">
        <v>26000</v>
      </c>
      <c r="L419">
        <v>0</v>
      </c>
      <c r="M419">
        <v>78000</v>
      </c>
      <c r="N419">
        <v>15000</v>
      </c>
      <c r="O419" t="s">
        <v>23</v>
      </c>
      <c r="P419" t="s">
        <v>24</v>
      </c>
    </row>
    <row r="420" spans="1:16" x14ac:dyDescent="0.25">
      <c r="A420">
        <v>100419</v>
      </c>
      <c r="B420" s="1">
        <v>46256</v>
      </c>
      <c r="C420" t="s">
        <v>55</v>
      </c>
      <c r="D420" t="s">
        <v>56</v>
      </c>
      <c r="E420" t="s">
        <v>43</v>
      </c>
      <c r="F420" t="s">
        <v>19</v>
      </c>
      <c r="G420" t="s">
        <v>20</v>
      </c>
      <c r="H420" t="s">
        <v>238</v>
      </c>
      <c r="I420" t="s">
        <v>30</v>
      </c>
      <c r="J420">
        <v>4</v>
      </c>
      <c r="K420">
        <v>58000</v>
      </c>
      <c r="L420">
        <v>0.05</v>
      </c>
      <c r="M420">
        <v>220400</v>
      </c>
      <c r="N420">
        <v>39000</v>
      </c>
      <c r="O420" t="s">
        <v>23</v>
      </c>
      <c r="P420" t="s">
        <v>64</v>
      </c>
    </row>
    <row r="421" spans="1:16" x14ac:dyDescent="0.25">
      <c r="A421">
        <v>100420</v>
      </c>
      <c r="B421" s="1">
        <v>46079</v>
      </c>
      <c r="C421" t="s">
        <v>35</v>
      </c>
      <c r="D421" t="s">
        <v>36</v>
      </c>
      <c r="E421" t="s">
        <v>18</v>
      </c>
      <c r="F421" t="s">
        <v>27</v>
      </c>
      <c r="G421" t="s">
        <v>28</v>
      </c>
      <c r="H421" t="s">
        <v>86</v>
      </c>
      <c r="I421" t="s">
        <v>30</v>
      </c>
      <c r="J421">
        <v>2</v>
      </c>
      <c r="K421">
        <v>165000</v>
      </c>
      <c r="L421">
        <v>0.05</v>
      </c>
      <c r="M421">
        <v>313500</v>
      </c>
      <c r="O421" t="s">
        <v>23</v>
      </c>
      <c r="P421" t="s">
        <v>64</v>
      </c>
    </row>
    <row r="422" spans="1:16" x14ac:dyDescent="0.25">
      <c r="A422">
        <v>100197</v>
      </c>
      <c r="B422" s="1">
        <v>46235</v>
      </c>
      <c r="C422" t="s">
        <v>32</v>
      </c>
      <c r="D422" t="s">
        <v>17</v>
      </c>
      <c r="E422" t="s">
        <v>37</v>
      </c>
      <c r="F422" t="s">
        <v>44</v>
      </c>
      <c r="G422" t="s">
        <v>60</v>
      </c>
      <c r="H422" t="s">
        <v>187</v>
      </c>
      <c r="I422" t="s">
        <v>30</v>
      </c>
      <c r="J422">
        <v>1</v>
      </c>
      <c r="K422">
        <v>9000</v>
      </c>
      <c r="L422">
        <v>0.25</v>
      </c>
      <c r="M422">
        <v>6750</v>
      </c>
      <c r="N422">
        <v>3500</v>
      </c>
      <c r="O422" t="s">
        <v>76</v>
      </c>
      <c r="P422" t="s">
        <v>31</v>
      </c>
    </row>
    <row r="423" spans="1:16" x14ac:dyDescent="0.25">
      <c r="A423">
        <v>100196</v>
      </c>
      <c r="B423" s="1">
        <v>46078</v>
      </c>
      <c r="C423" t="s">
        <v>42</v>
      </c>
      <c r="D423" t="s">
        <v>185</v>
      </c>
      <c r="E423" t="s">
        <v>43</v>
      </c>
      <c r="F423" t="s">
        <v>27</v>
      </c>
      <c r="G423" t="s">
        <v>33</v>
      </c>
      <c r="H423" t="s">
        <v>186</v>
      </c>
      <c r="I423" t="s">
        <v>30</v>
      </c>
      <c r="J423">
        <v>4</v>
      </c>
      <c r="K423">
        <v>32000</v>
      </c>
      <c r="L423">
        <v>0.1</v>
      </c>
      <c r="M423">
        <v>115200</v>
      </c>
      <c r="N423">
        <v>19000</v>
      </c>
      <c r="O423" t="s">
        <v>23</v>
      </c>
      <c r="P423" t="s">
        <v>40</v>
      </c>
    </row>
    <row r="424" spans="1:16" x14ac:dyDescent="0.25">
      <c r="A424">
        <v>100304</v>
      </c>
      <c r="B424" s="1">
        <v>46204</v>
      </c>
      <c r="C424" t="s">
        <v>35</v>
      </c>
      <c r="D424" t="s">
        <v>36</v>
      </c>
      <c r="E424" t="s">
        <v>18</v>
      </c>
      <c r="F424" t="s">
        <v>19</v>
      </c>
      <c r="G424" t="s">
        <v>20</v>
      </c>
      <c r="H424" t="s">
        <v>218</v>
      </c>
      <c r="I424" t="s">
        <v>22</v>
      </c>
      <c r="J424">
        <v>5</v>
      </c>
      <c r="K424">
        <v>58000</v>
      </c>
      <c r="L424">
        <v>0.1</v>
      </c>
      <c r="M424">
        <v>261000</v>
      </c>
      <c r="N424">
        <v>39000</v>
      </c>
      <c r="O424" t="s">
        <v>23</v>
      </c>
      <c r="P424" t="s">
        <v>47</v>
      </c>
    </row>
    <row r="425" spans="1:16" x14ac:dyDescent="0.25">
      <c r="A425">
        <v>100306</v>
      </c>
      <c r="B425" s="1">
        <v>46095</v>
      </c>
      <c r="C425" t="s">
        <v>55</v>
      </c>
      <c r="D425" t="s">
        <v>56</v>
      </c>
      <c r="E425" t="s">
        <v>43</v>
      </c>
      <c r="F425" t="s">
        <v>44</v>
      </c>
      <c r="G425" t="s">
        <v>60</v>
      </c>
      <c r="H425" t="s">
        <v>217</v>
      </c>
      <c r="I425" t="s">
        <v>22</v>
      </c>
      <c r="J425">
        <v>1</v>
      </c>
      <c r="K425">
        <v>9000</v>
      </c>
      <c r="L425">
        <v>0.15</v>
      </c>
      <c r="M425">
        <v>7650</v>
      </c>
      <c r="N425">
        <v>3500</v>
      </c>
      <c r="O425" t="s">
        <v>23</v>
      </c>
      <c r="P425" t="s">
        <v>84</v>
      </c>
    </row>
    <row r="426" spans="1:16" x14ac:dyDescent="0.25">
      <c r="A426">
        <v>100367</v>
      </c>
      <c r="B426" s="1">
        <v>46225</v>
      </c>
      <c r="C426" t="s">
        <v>35</v>
      </c>
      <c r="D426" t="s">
        <v>36</v>
      </c>
      <c r="E426" t="s">
        <v>43</v>
      </c>
      <c r="F426" t="s">
        <v>44</v>
      </c>
      <c r="G426" t="s">
        <v>60</v>
      </c>
      <c r="H426" t="s">
        <v>106</v>
      </c>
      <c r="I426" t="s">
        <v>30</v>
      </c>
      <c r="J426">
        <v>2</v>
      </c>
      <c r="K426">
        <v>9000</v>
      </c>
      <c r="L426">
        <v>0</v>
      </c>
      <c r="M426">
        <v>18000</v>
      </c>
      <c r="N426">
        <v>3500</v>
      </c>
      <c r="O426" t="s">
        <v>23</v>
      </c>
      <c r="P426" t="s">
        <v>31</v>
      </c>
    </row>
    <row r="427" spans="1:16" x14ac:dyDescent="0.25">
      <c r="A427">
        <v>100252</v>
      </c>
      <c r="B427" s="1">
        <v>46214</v>
      </c>
      <c r="C427" t="s">
        <v>35</v>
      </c>
      <c r="D427" t="s">
        <v>36</v>
      </c>
      <c r="E427" t="s">
        <v>43</v>
      </c>
      <c r="F427" t="s">
        <v>27</v>
      </c>
      <c r="G427" t="s">
        <v>38</v>
      </c>
      <c r="H427" t="s">
        <v>167</v>
      </c>
      <c r="I427" t="s">
        <v>30</v>
      </c>
      <c r="J427">
        <v>2</v>
      </c>
      <c r="K427">
        <v>26000</v>
      </c>
      <c r="L427">
        <v>0</v>
      </c>
      <c r="M427">
        <v>52000</v>
      </c>
      <c r="N427">
        <v>15000</v>
      </c>
      <c r="O427" t="s">
        <v>23</v>
      </c>
      <c r="P427" t="s">
        <v>58</v>
      </c>
    </row>
    <row r="428" spans="1:16" x14ac:dyDescent="0.25">
      <c r="A428">
        <v>100276</v>
      </c>
      <c r="B428" s="1">
        <v>46195</v>
      </c>
      <c r="C428" t="s">
        <v>42</v>
      </c>
      <c r="D428" t="s">
        <v>26</v>
      </c>
      <c r="E428" t="s">
        <v>37</v>
      </c>
      <c r="F428" t="s">
        <v>19</v>
      </c>
      <c r="G428" t="s">
        <v>62</v>
      </c>
      <c r="H428" t="s">
        <v>158</v>
      </c>
      <c r="I428" t="s">
        <v>22</v>
      </c>
      <c r="J428">
        <v>2</v>
      </c>
      <c r="K428">
        <v>24000</v>
      </c>
      <c r="L428">
        <v>0.1</v>
      </c>
      <c r="M428">
        <v>43200</v>
      </c>
      <c r="N428">
        <v>15000</v>
      </c>
      <c r="O428" t="s">
        <v>23</v>
      </c>
      <c r="P428" t="s">
        <v>58</v>
      </c>
    </row>
    <row r="429" spans="1:16" x14ac:dyDescent="0.25">
      <c r="A429">
        <v>100395</v>
      </c>
      <c r="B429" s="1">
        <v>46151</v>
      </c>
      <c r="C429" t="s">
        <v>35</v>
      </c>
      <c r="D429" t="s">
        <v>36</v>
      </c>
      <c r="E429" t="s">
        <v>18</v>
      </c>
      <c r="F429" t="s">
        <v>44</v>
      </c>
      <c r="G429" t="s">
        <v>65</v>
      </c>
      <c r="H429" t="s">
        <v>86</v>
      </c>
      <c r="I429" t="s">
        <v>30</v>
      </c>
      <c r="J429">
        <v>2</v>
      </c>
      <c r="K429">
        <v>28000</v>
      </c>
      <c r="L429">
        <v>0.05</v>
      </c>
      <c r="M429">
        <v>53200</v>
      </c>
      <c r="N429">
        <v>16000</v>
      </c>
      <c r="O429" t="s">
        <v>23</v>
      </c>
      <c r="P429" t="s">
        <v>84</v>
      </c>
    </row>
    <row r="430" spans="1:16" x14ac:dyDescent="0.25">
      <c r="A430">
        <v>100074</v>
      </c>
      <c r="B430" s="1">
        <v>46132</v>
      </c>
      <c r="C430" t="s">
        <v>50</v>
      </c>
      <c r="D430" t="s">
        <v>51</v>
      </c>
      <c r="E430" t="s">
        <v>43</v>
      </c>
      <c r="F430" t="s">
        <v>44</v>
      </c>
      <c r="G430" t="s">
        <v>45</v>
      </c>
      <c r="H430" t="s">
        <v>122</v>
      </c>
      <c r="I430" t="s">
        <v>22</v>
      </c>
      <c r="J430">
        <v>4</v>
      </c>
      <c r="K430">
        <v>6500</v>
      </c>
      <c r="L430">
        <v>0.05</v>
      </c>
      <c r="M430">
        <v>24700</v>
      </c>
      <c r="N430">
        <v>2200</v>
      </c>
      <c r="O430" t="s">
        <v>23</v>
      </c>
      <c r="P430" t="s">
        <v>24</v>
      </c>
    </row>
    <row r="431" spans="1:16" x14ac:dyDescent="0.25">
      <c r="A431">
        <v>100386</v>
      </c>
      <c r="B431" s="1">
        <v>46049</v>
      </c>
      <c r="C431" t="s">
        <v>25</v>
      </c>
      <c r="D431" t="s">
        <v>26</v>
      </c>
      <c r="E431" t="s">
        <v>18</v>
      </c>
      <c r="F431" t="s">
        <v>44</v>
      </c>
      <c r="G431" t="s">
        <v>60</v>
      </c>
      <c r="H431" t="s">
        <v>98</v>
      </c>
      <c r="I431" t="s">
        <v>22</v>
      </c>
      <c r="J431">
        <v>3</v>
      </c>
      <c r="K431">
        <v>9000</v>
      </c>
      <c r="L431">
        <v>0</v>
      </c>
      <c r="M431">
        <v>27000</v>
      </c>
      <c r="N431">
        <v>3500</v>
      </c>
      <c r="O431" t="s">
        <v>23</v>
      </c>
      <c r="P431" t="s">
        <v>64</v>
      </c>
    </row>
    <row r="432" spans="1:16" x14ac:dyDescent="0.25">
      <c r="A432">
        <v>100061</v>
      </c>
      <c r="B432" s="1">
        <v>46251</v>
      </c>
      <c r="C432" t="s">
        <v>42</v>
      </c>
      <c r="D432" t="s">
        <v>26</v>
      </c>
      <c r="E432" t="s">
        <v>43</v>
      </c>
      <c r="F432" t="s">
        <v>27</v>
      </c>
      <c r="G432" t="s">
        <v>33</v>
      </c>
      <c r="H432" t="s">
        <v>111</v>
      </c>
      <c r="I432" t="s">
        <v>30</v>
      </c>
      <c r="J432">
        <v>1</v>
      </c>
      <c r="K432">
        <v>32000</v>
      </c>
      <c r="L432">
        <v>0.15</v>
      </c>
      <c r="M432">
        <v>27200</v>
      </c>
      <c r="N432">
        <v>19000</v>
      </c>
      <c r="O432" t="s">
        <v>23</v>
      </c>
      <c r="P432" t="s">
        <v>84</v>
      </c>
    </row>
    <row r="433" spans="1:16" x14ac:dyDescent="0.25">
      <c r="A433">
        <v>100401</v>
      </c>
      <c r="B433" s="1">
        <v>46168</v>
      </c>
      <c r="C433" t="s">
        <v>50</v>
      </c>
      <c r="D433" t="s">
        <v>51</v>
      </c>
      <c r="E433" t="s">
        <v>37</v>
      </c>
      <c r="F433" t="s">
        <v>27</v>
      </c>
      <c r="G433" t="s">
        <v>28</v>
      </c>
      <c r="H433" t="s">
        <v>173</v>
      </c>
      <c r="I433" t="s">
        <v>30</v>
      </c>
      <c r="J433">
        <v>3</v>
      </c>
      <c r="K433">
        <v>165000</v>
      </c>
      <c r="L433">
        <v>0</v>
      </c>
      <c r="M433">
        <v>495000</v>
      </c>
      <c r="N433">
        <v>112000</v>
      </c>
      <c r="O433" t="s">
        <v>76</v>
      </c>
      <c r="P43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EE92-7F36-42F6-9FF3-7F36EEB2D5F2}">
  <dimension ref="A1:T433"/>
  <sheetViews>
    <sheetView tabSelected="1" workbookViewId="0">
      <selection activeCell="C12" sqref="C12"/>
    </sheetView>
  </sheetViews>
  <sheetFormatPr defaultRowHeight="15" x14ac:dyDescent="0.25"/>
  <cols>
    <col min="1" max="1" width="16.140625" style="5" customWidth="1"/>
    <col min="2" max="2" width="27.7109375" style="1" bestFit="1" customWidth="1"/>
    <col min="3" max="3" width="10.7109375" style="3" customWidth="1"/>
    <col min="4" max="4" width="12.7109375" bestFit="1" customWidth="1"/>
    <col min="5" max="5" width="10.42578125" style="3" customWidth="1"/>
    <col min="6" max="6" width="16.85546875" style="3" bestFit="1" customWidth="1"/>
    <col min="7" max="7" width="16.85546875" customWidth="1"/>
    <col min="8" max="8" width="14.5703125" style="3" customWidth="1"/>
    <col min="9" max="9" width="17" style="3" customWidth="1"/>
    <col min="10" max="10" width="9.140625" style="5"/>
    <col min="11" max="11" width="17.7109375" style="4" customWidth="1"/>
    <col min="12" max="12" width="14.5703125" style="2" customWidth="1"/>
    <col min="13" max="13" width="19.42578125" style="4" bestFit="1" customWidth="1"/>
    <col min="14" max="14" width="25.5703125" style="4" customWidth="1"/>
    <col min="15" max="15" width="19.28515625" style="4" bestFit="1" customWidth="1"/>
    <col min="16" max="17" width="13.7109375" customWidth="1"/>
    <col min="18" max="18" width="19.5703125" bestFit="1" customWidth="1"/>
    <col min="19" max="19" width="23.140625" style="34" bestFit="1" customWidth="1"/>
    <col min="20" max="20" width="13.140625" bestFit="1" customWidth="1"/>
  </cols>
  <sheetData>
    <row r="1" spans="1:20" x14ac:dyDescent="0.25">
      <c r="A1" s="7" t="s">
        <v>0</v>
      </c>
      <c r="B1" s="8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12" t="s">
        <v>239</v>
      </c>
      <c r="N1" s="12" t="s">
        <v>12</v>
      </c>
      <c r="O1" s="36" t="s">
        <v>13</v>
      </c>
      <c r="P1" s="10" t="s">
        <v>14</v>
      </c>
      <c r="Q1" s="10" t="s">
        <v>15</v>
      </c>
      <c r="R1" t="s">
        <v>240</v>
      </c>
      <c r="S1" s="34" t="s">
        <v>242</v>
      </c>
      <c r="T1" t="s">
        <v>243</v>
      </c>
    </row>
    <row r="2" spans="1:20" x14ac:dyDescent="0.25">
      <c r="A2" s="14">
        <v>100001</v>
      </c>
      <c r="B2" s="15">
        <v>46167</v>
      </c>
      <c r="C2" s="16" t="s">
        <v>16</v>
      </c>
      <c r="D2" s="17" t="s">
        <v>17</v>
      </c>
      <c r="E2" s="16" t="s">
        <v>18</v>
      </c>
      <c r="F2" s="16" t="s">
        <v>19</v>
      </c>
      <c r="G2" s="17" t="s">
        <v>20</v>
      </c>
      <c r="H2" s="16" t="s">
        <v>21</v>
      </c>
      <c r="I2" s="16" t="s">
        <v>22</v>
      </c>
      <c r="J2" s="18">
        <v>1</v>
      </c>
      <c r="K2" s="19">
        <v>58000</v>
      </c>
      <c r="L2" s="20">
        <v>0</v>
      </c>
      <c r="M2" s="19">
        <f t="shared" ref="M2:M65" si="0">J2*K2*(1-L2)</f>
        <v>58000</v>
      </c>
      <c r="N2" s="19">
        <v>58000</v>
      </c>
      <c r="O2" s="4">
        <v>39000</v>
      </c>
      <c r="P2" s="17" t="s">
        <v>23</v>
      </c>
      <c r="Q2" s="17" t="s">
        <v>24</v>
      </c>
      <c r="R2" t="str">
        <f t="shared" ref="R2:R65" si="1">IF(ABS(N2-M2)&gt;1,"REVENUE MISMATCH","OK")</f>
        <v>OK</v>
      </c>
      <c r="S2" s="2">
        <f t="shared" ref="S2:S65" si="2">N2/M2</f>
        <v>1</v>
      </c>
      <c r="T2" s="35">
        <f>M2-(O2*J2)</f>
        <v>19000</v>
      </c>
    </row>
    <row r="3" spans="1:20" x14ac:dyDescent="0.25">
      <c r="A3" s="21">
        <v>100002</v>
      </c>
      <c r="B3" s="22">
        <v>46129</v>
      </c>
      <c r="C3" s="23" t="s">
        <v>25</v>
      </c>
      <c r="D3" s="17" t="s">
        <v>26</v>
      </c>
      <c r="E3" s="23" t="s">
        <v>18</v>
      </c>
      <c r="F3" s="23" t="s">
        <v>27</v>
      </c>
      <c r="G3" s="17" t="s">
        <v>28</v>
      </c>
      <c r="H3" s="23" t="s">
        <v>29</v>
      </c>
      <c r="I3" s="23" t="s">
        <v>30</v>
      </c>
      <c r="J3" s="24">
        <v>5</v>
      </c>
      <c r="K3" s="25">
        <v>165000</v>
      </c>
      <c r="L3" s="26">
        <v>0.05</v>
      </c>
      <c r="M3" s="19">
        <f t="shared" si="0"/>
        <v>783750</v>
      </c>
      <c r="N3" s="25">
        <v>627000</v>
      </c>
      <c r="O3" s="4">
        <v>112000</v>
      </c>
      <c r="P3" s="27" t="s">
        <v>23</v>
      </c>
      <c r="Q3" s="17" t="s">
        <v>31</v>
      </c>
      <c r="R3" t="str">
        <f t="shared" si="1"/>
        <v>REVENUE MISMATCH</v>
      </c>
      <c r="S3" s="2">
        <f t="shared" si="2"/>
        <v>0.8</v>
      </c>
      <c r="T3" s="35">
        <f t="shared" ref="T3:T66" si="3">M3-(O3*J3)</f>
        <v>223750</v>
      </c>
    </row>
    <row r="4" spans="1:20" x14ac:dyDescent="0.25">
      <c r="A4" s="14">
        <v>100003</v>
      </c>
      <c r="B4" s="15">
        <v>46079</v>
      </c>
      <c r="C4" s="16" t="s">
        <v>32</v>
      </c>
      <c r="D4" s="17" t="s">
        <v>17</v>
      </c>
      <c r="E4" s="16" t="s">
        <v>18</v>
      </c>
      <c r="F4" s="16" t="s">
        <v>27</v>
      </c>
      <c r="G4" s="17" t="s">
        <v>33</v>
      </c>
      <c r="H4" s="16" t="s">
        <v>34</v>
      </c>
      <c r="I4" s="16" t="s">
        <v>30</v>
      </c>
      <c r="J4" s="18">
        <v>3</v>
      </c>
      <c r="K4" s="19">
        <v>32000</v>
      </c>
      <c r="L4" s="20">
        <v>0.2</v>
      </c>
      <c r="M4" s="19">
        <f t="shared" si="0"/>
        <v>76800</v>
      </c>
      <c r="N4" s="19">
        <v>76800</v>
      </c>
      <c r="O4" s="4">
        <v>19000</v>
      </c>
      <c r="P4" s="17" t="s">
        <v>23</v>
      </c>
      <c r="Q4" s="17" t="s">
        <v>24</v>
      </c>
      <c r="R4" t="str">
        <f t="shared" si="1"/>
        <v>OK</v>
      </c>
      <c r="S4" s="2">
        <f t="shared" si="2"/>
        <v>1</v>
      </c>
      <c r="T4" s="35">
        <f t="shared" si="3"/>
        <v>19800</v>
      </c>
    </row>
    <row r="5" spans="1:20" x14ac:dyDescent="0.25">
      <c r="A5" s="21">
        <v>100004</v>
      </c>
      <c r="B5" s="22">
        <v>46182</v>
      </c>
      <c r="C5" s="23" t="s">
        <v>35</v>
      </c>
      <c r="D5" s="17" t="s">
        <v>36</v>
      </c>
      <c r="E5" s="23" t="s">
        <v>37</v>
      </c>
      <c r="F5" s="23" t="s">
        <v>27</v>
      </c>
      <c r="G5" s="17" t="s">
        <v>38</v>
      </c>
      <c r="H5" s="23" t="s">
        <v>39</v>
      </c>
      <c r="I5" s="23" t="s">
        <v>30</v>
      </c>
      <c r="J5" s="24">
        <v>4</v>
      </c>
      <c r="K5" s="25">
        <v>26000</v>
      </c>
      <c r="L5" s="26">
        <v>0</v>
      </c>
      <c r="M5" s="19">
        <f t="shared" si="0"/>
        <v>104000</v>
      </c>
      <c r="N5" s="25">
        <v>104000</v>
      </c>
      <c r="O5" s="4">
        <v>15000</v>
      </c>
      <c r="P5" s="27" t="s">
        <v>23</v>
      </c>
      <c r="Q5" s="17" t="s">
        <v>40</v>
      </c>
      <c r="R5" t="str">
        <f t="shared" si="1"/>
        <v>OK</v>
      </c>
      <c r="S5" s="2">
        <f t="shared" si="2"/>
        <v>1</v>
      </c>
      <c r="T5" s="35">
        <f t="shared" si="3"/>
        <v>44000</v>
      </c>
    </row>
    <row r="6" spans="1:20" x14ac:dyDescent="0.25">
      <c r="A6" s="14">
        <v>100005</v>
      </c>
      <c r="B6" s="15">
        <v>46172</v>
      </c>
      <c r="C6" s="16" t="s">
        <v>25</v>
      </c>
      <c r="D6" s="17" t="s">
        <v>26</v>
      </c>
      <c r="E6" s="16" t="s">
        <v>37</v>
      </c>
      <c r="F6" s="16" t="s">
        <v>27</v>
      </c>
      <c r="G6" s="17" t="s">
        <v>28</v>
      </c>
      <c r="H6" s="16" t="s">
        <v>41</v>
      </c>
      <c r="I6" s="16" t="s">
        <v>30</v>
      </c>
      <c r="J6" s="18">
        <v>1</v>
      </c>
      <c r="K6" s="19">
        <v>165000</v>
      </c>
      <c r="L6" s="20">
        <v>0.05</v>
      </c>
      <c r="M6" s="19">
        <f t="shared" si="0"/>
        <v>156750</v>
      </c>
      <c r="N6" s="19">
        <v>156750</v>
      </c>
      <c r="O6" s="4">
        <v>112000</v>
      </c>
      <c r="P6" s="17" t="s">
        <v>23</v>
      </c>
      <c r="Q6" s="17" t="s">
        <v>24</v>
      </c>
      <c r="R6" t="str">
        <f t="shared" si="1"/>
        <v>OK</v>
      </c>
      <c r="S6" s="2">
        <f t="shared" si="2"/>
        <v>1</v>
      </c>
      <c r="T6" s="35">
        <f t="shared" si="3"/>
        <v>44750</v>
      </c>
    </row>
    <row r="7" spans="1:20" x14ac:dyDescent="0.25">
      <c r="A7" s="21">
        <v>100006</v>
      </c>
      <c r="B7" s="22">
        <v>46238</v>
      </c>
      <c r="C7" s="23" t="s">
        <v>42</v>
      </c>
      <c r="D7" s="17" t="s">
        <v>26</v>
      </c>
      <c r="E7" s="23" t="s">
        <v>43</v>
      </c>
      <c r="F7" s="23" t="s">
        <v>44</v>
      </c>
      <c r="G7" s="17" t="s">
        <v>241</v>
      </c>
      <c r="H7" s="23" t="s">
        <v>46</v>
      </c>
      <c r="I7" s="23" t="s">
        <v>30</v>
      </c>
      <c r="J7" s="24">
        <v>3</v>
      </c>
      <c r="K7" s="25">
        <v>6500</v>
      </c>
      <c r="L7" s="26">
        <v>0.1</v>
      </c>
      <c r="M7" s="19">
        <f t="shared" si="0"/>
        <v>17550</v>
      </c>
      <c r="N7" s="25">
        <v>17550</v>
      </c>
      <c r="O7" s="4">
        <v>2200</v>
      </c>
      <c r="P7" s="27" t="s">
        <v>23</v>
      </c>
      <c r="Q7" s="17" t="s">
        <v>47</v>
      </c>
      <c r="R7" t="str">
        <f t="shared" si="1"/>
        <v>OK</v>
      </c>
      <c r="S7" s="2">
        <f t="shared" si="2"/>
        <v>1</v>
      </c>
      <c r="T7" s="35">
        <f t="shared" si="3"/>
        <v>10950</v>
      </c>
    </row>
    <row r="8" spans="1:20" x14ac:dyDescent="0.25">
      <c r="A8" s="14">
        <v>100007</v>
      </c>
      <c r="B8" s="15">
        <v>46090</v>
      </c>
      <c r="C8" s="16" t="s">
        <v>25</v>
      </c>
      <c r="D8" s="17" t="s">
        <v>26</v>
      </c>
      <c r="E8" s="16" t="s">
        <v>43</v>
      </c>
      <c r="F8" s="16" t="s">
        <v>27</v>
      </c>
      <c r="G8" s="17" t="s">
        <v>38</v>
      </c>
      <c r="H8" s="16" t="s">
        <v>48</v>
      </c>
      <c r="I8" s="16" t="s">
        <v>22</v>
      </c>
      <c r="J8" s="18">
        <v>3</v>
      </c>
      <c r="K8" s="19">
        <v>26000</v>
      </c>
      <c r="L8" s="20">
        <v>0.1</v>
      </c>
      <c r="M8" s="19">
        <f t="shared" si="0"/>
        <v>70200</v>
      </c>
      <c r="N8" s="19">
        <v>70200</v>
      </c>
      <c r="O8" s="4">
        <v>15000</v>
      </c>
      <c r="P8" s="17" t="s">
        <v>23</v>
      </c>
      <c r="Q8" s="17" t="s">
        <v>24</v>
      </c>
      <c r="R8" t="str">
        <f t="shared" si="1"/>
        <v>OK</v>
      </c>
      <c r="S8" s="2">
        <f t="shared" si="2"/>
        <v>1</v>
      </c>
      <c r="T8" s="35">
        <f t="shared" si="3"/>
        <v>25200</v>
      </c>
    </row>
    <row r="9" spans="1:20" x14ac:dyDescent="0.25">
      <c r="A9" s="21">
        <v>100008</v>
      </c>
      <c r="B9" s="22">
        <v>46229</v>
      </c>
      <c r="C9" s="23" t="s">
        <v>35</v>
      </c>
      <c r="D9" s="17" t="s">
        <v>36</v>
      </c>
      <c r="E9" s="23" t="s">
        <v>37</v>
      </c>
      <c r="F9" s="23" t="s">
        <v>27</v>
      </c>
      <c r="G9" s="17" t="s">
        <v>28</v>
      </c>
      <c r="H9" s="23" t="s">
        <v>49</v>
      </c>
      <c r="I9" s="23" t="s">
        <v>30</v>
      </c>
      <c r="J9" s="24">
        <v>5</v>
      </c>
      <c r="K9" s="25">
        <v>165000</v>
      </c>
      <c r="L9" s="26">
        <v>0.05</v>
      </c>
      <c r="M9" s="19">
        <f t="shared" si="0"/>
        <v>783750</v>
      </c>
      <c r="N9" s="25">
        <v>783750</v>
      </c>
      <c r="O9" s="4">
        <v>112000</v>
      </c>
      <c r="P9" s="27" t="s">
        <v>23</v>
      </c>
      <c r="Q9" s="17" t="s">
        <v>31</v>
      </c>
      <c r="R9" t="str">
        <f t="shared" si="1"/>
        <v>OK</v>
      </c>
      <c r="S9" s="2">
        <f t="shared" si="2"/>
        <v>1</v>
      </c>
      <c r="T9" s="35">
        <f t="shared" si="3"/>
        <v>223750</v>
      </c>
    </row>
    <row r="10" spans="1:20" x14ac:dyDescent="0.25">
      <c r="A10" s="14">
        <v>100009</v>
      </c>
      <c r="B10" s="15">
        <v>46028</v>
      </c>
      <c r="C10" s="16" t="s">
        <v>50</v>
      </c>
      <c r="D10" s="17" t="s">
        <v>51</v>
      </c>
      <c r="E10" s="16" t="s">
        <v>43</v>
      </c>
      <c r="F10" s="16" t="s">
        <v>19</v>
      </c>
      <c r="G10" s="17" t="s">
        <v>52</v>
      </c>
      <c r="H10" s="16" t="s">
        <v>53</v>
      </c>
      <c r="I10" s="16" t="s">
        <v>30</v>
      </c>
      <c r="J10" s="18">
        <v>3</v>
      </c>
      <c r="K10" s="19">
        <v>42000</v>
      </c>
      <c r="L10" s="20">
        <v>0.15</v>
      </c>
      <c r="M10" s="19">
        <f t="shared" si="0"/>
        <v>107100</v>
      </c>
      <c r="N10" s="19">
        <v>107100</v>
      </c>
      <c r="O10" s="4">
        <v>28000</v>
      </c>
      <c r="P10" s="17" t="s">
        <v>23</v>
      </c>
      <c r="Q10" s="17" t="s">
        <v>54</v>
      </c>
      <c r="R10" t="str">
        <f t="shared" si="1"/>
        <v>OK</v>
      </c>
      <c r="S10" s="2">
        <f t="shared" si="2"/>
        <v>1</v>
      </c>
      <c r="T10" s="35">
        <f t="shared" si="3"/>
        <v>23100</v>
      </c>
    </row>
    <row r="11" spans="1:20" x14ac:dyDescent="0.25">
      <c r="A11" s="21">
        <v>100010</v>
      </c>
      <c r="B11" s="22">
        <v>46248</v>
      </c>
      <c r="C11" s="23" t="s">
        <v>55</v>
      </c>
      <c r="D11" s="17" t="s">
        <v>56</v>
      </c>
      <c r="E11" s="23" t="s">
        <v>43</v>
      </c>
      <c r="F11" s="23" t="s">
        <v>27</v>
      </c>
      <c r="G11" s="17" t="s">
        <v>28</v>
      </c>
      <c r="H11" s="23" t="s">
        <v>57</v>
      </c>
      <c r="I11" s="23" t="s">
        <v>30</v>
      </c>
      <c r="J11" s="24">
        <v>1</v>
      </c>
      <c r="K11" s="25">
        <v>165000</v>
      </c>
      <c r="L11" s="26">
        <v>0</v>
      </c>
      <c r="M11" s="19">
        <f t="shared" si="0"/>
        <v>165000</v>
      </c>
      <c r="N11" s="25">
        <v>165000</v>
      </c>
      <c r="O11" s="4">
        <v>112000</v>
      </c>
      <c r="P11" s="27" t="s">
        <v>23</v>
      </c>
      <c r="Q11" s="17" t="s">
        <v>58</v>
      </c>
      <c r="R11" t="str">
        <f t="shared" si="1"/>
        <v>OK</v>
      </c>
      <c r="S11" s="2">
        <f t="shared" si="2"/>
        <v>1</v>
      </c>
      <c r="T11" s="35">
        <f t="shared" si="3"/>
        <v>53000</v>
      </c>
    </row>
    <row r="12" spans="1:20" x14ac:dyDescent="0.25">
      <c r="A12" s="14">
        <v>100011</v>
      </c>
      <c r="B12" s="15">
        <v>46200</v>
      </c>
      <c r="C12" s="16" t="s">
        <v>25</v>
      </c>
      <c r="D12" s="17" t="s">
        <v>26</v>
      </c>
      <c r="E12" s="16" t="s">
        <v>43</v>
      </c>
      <c r="F12" s="16" t="s">
        <v>27</v>
      </c>
      <c r="G12" s="17" t="s">
        <v>33</v>
      </c>
      <c r="H12" s="16" t="s">
        <v>59</v>
      </c>
      <c r="I12" s="16" t="s">
        <v>30</v>
      </c>
      <c r="J12" s="18">
        <v>1</v>
      </c>
      <c r="K12" s="19">
        <v>32000</v>
      </c>
      <c r="L12" s="20">
        <v>0</v>
      </c>
      <c r="M12" s="19">
        <f t="shared" si="0"/>
        <v>32000</v>
      </c>
      <c r="N12" s="19">
        <v>32000</v>
      </c>
      <c r="O12" s="4">
        <v>19000</v>
      </c>
      <c r="P12" s="17" t="s">
        <v>23</v>
      </c>
      <c r="Q12" s="17" t="s">
        <v>58</v>
      </c>
      <c r="R12" t="str">
        <f t="shared" si="1"/>
        <v>OK</v>
      </c>
      <c r="S12" s="2">
        <f t="shared" si="2"/>
        <v>1</v>
      </c>
      <c r="T12" s="35">
        <f t="shared" si="3"/>
        <v>13000</v>
      </c>
    </row>
    <row r="13" spans="1:20" x14ac:dyDescent="0.25">
      <c r="A13" s="21">
        <v>100012</v>
      </c>
      <c r="B13" s="22">
        <v>46120</v>
      </c>
      <c r="C13" s="23" t="s">
        <v>35</v>
      </c>
      <c r="D13" s="17" t="s">
        <v>36</v>
      </c>
      <c r="E13" s="23" t="s">
        <v>37</v>
      </c>
      <c r="F13" s="23" t="s">
        <v>44</v>
      </c>
      <c r="G13" s="17" t="s">
        <v>60</v>
      </c>
      <c r="H13" s="23" t="s">
        <v>61</v>
      </c>
      <c r="I13" s="23" t="s">
        <v>22</v>
      </c>
      <c r="J13" s="24">
        <v>1</v>
      </c>
      <c r="K13" s="25">
        <v>9000</v>
      </c>
      <c r="L13" s="26">
        <v>0</v>
      </c>
      <c r="M13" s="19">
        <f t="shared" si="0"/>
        <v>9000</v>
      </c>
      <c r="N13" s="25">
        <v>9000</v>
      </c>
      <c r="O13" s="4">
        <v>3500</v>
      </c>
      <c r="P13" s="27" t="s">
        <v>23</v>
      </c>
      <c r="Q13" s="17" t="s">
        <v>58</v>
      </c>
      <c r="R13" t="str">
        <f t="shared" si="1"/>
        <v>OK</v>
      </c>
      <c r="S13" s="2">
        <f t="shared" si="2"/>
        <v>1</v>
      </c>
      <c r="T13" s="35">
        <f t="shared" si="3"/>
        <v>5500</v>
      </c>
    </row>
    <row r="14" spans="1:20" x14ac:dyDescent="0.25">
      <c r="A14" s="14">
        <v>100013</v>
      </c>
      <c r="B14" s="15">
        <v>46153</v>
      </c>
      <c r="C14" s="16" t="s">
        <v>50</v>
      </c>
      <c r="D14" s="17" t="s">
        <v>51</v>
      </c>
      <c r="E14" s="16" t="s">
        <v>43</v>
      </c>
      <c r="F14" s="16" t="s">
        <v>19</v>
      </c>
      <c r="G14" s="17" t="s">
        <v>62</v>
      </c>
      <c r="H14" s="16" t="s">
        <v>63</v>
      </c>
      <c r="I14" s="16" t="s">
        <v>22</v>
      </c>
      <c r="J14" s="18">
        <v>2</v>
      </c>
      <c r="K14" s="19">
        <v>24000</v>
      </c>
      <c r="L14" s="20">
        <v>0</v>
      </c>
      <c r="M14" s="19">
        <f t="shared" si="0"/>
        <v>48000</v>
      </c>
      <c r="N14" s="19">
        <v>48000</v>
      </c>
      <c r="O14" s="4">
        <v>15000</v>
      </c>
      <c r="P14" s="17" t="s">
        <v>23</v>
      </c>
      <c r="Q14" s="17" t="s">
        <v>64</v>
      </c>
      <c r="R14" t="str">
        <f t="shared" si="1"/>
        <v>OK</v>
      </c>
      <c r="S14" s="2">
        <f t="shared" si="2"/>
        <v>1</v>
      </c>
      <c r="T14" s="35">
        <f t="shared" si="3"/>
        <v>18000</v>
      </c>
    </row>
    <row r="15" spans="1:20" x14ac:dyDescent="0.25">
      <c r="A15" s="21">
        <v>100014</v>
      </c>
      <c r="B15" s="22">
        <v>46195</v>
      </c>
      <c r="C15" s="23" t="s">
        <v>16</v>
      </c>
      <c r="D15" s="17" t="s">
        <v>17</v>
      </c>
      <c r="E15" s="23" t="s">
        <v>18</v>
      </c>
      <c r="F15" s="23" t="s">
        <v>44</v>
      </c>
      <c r="G15" s="17" t="s">
        <v>65</v>
      </c>
      <c r="H15" s="23" t="s">
        <v>66</v>
      </c>
      <c r="I15" s="23" t="s">
        <v>30</v>
      </c>
      <c r="J15" s="24">
        <v>2</v>
      </c>
      <c r="K15" s="25">
        <v>28000</v>
      </c>
      <c r="L15" s="26">
        <v>0.25</v>
      </c>
      <c r="M15" s="19">
        <f t="shared" si="0"/>
        <v>42000</v>
      </c>
      <c r="N15" s="25">
        <v>42000</v>
      </c>
      <c r="O15" s="4">
        <v>16000</v>
      </c>
      <c r="P15" s="27" t="s">
        <v>23</v>
      </c>
      <c r="Q15" s="17" t="s">
        <v>54</v>
      </c>
      <c r="R15" t="str">
        <f t="shared" si="1"/>
        <v>OK</v>
      </c>
      <c r="S15" s="2">
        <f t="shared" si="2"/>
        <v>1</v>
      </c>
      <c r="T15" s="35">
        <f t="shared" si="3"/>
        <v>10000</v>
      </c>
    </row>
    <row r="16" spans="1:20" x14ac:dyDescent="0.25">
      <c r="A16" s="14">
        <v>100015</v>
      </c>
      <c r="B16" s="15">
        <v>46031</v>
      </c>
      <c r="C16" s="16" t="s">
        <v>55</v>
      </c>
      <c r="D16" s="17" t="s">
        <v>56</v>
      </c>
      <c r="E16" s="16" t="s">
        <v>43</v>
      </c>
      <c r="F16" s="16" t="s">
        <v>27</v>
      </c>
      <c r="G16" s="17" t="s">
        <v>28</v>
      </c>
      <c r="H16" s="16" t="s">
        <v>67</v>
      </c>
      <c r="I16" s="16" t="s">
        <v>22</v>
      </c>
      <c r="J16" s="18">
        <v>2</v>
      </c>
      <c r="K16" s="19">
        <v>165000</v>
      </c>
      <c r="L16" s="20">
        <v>0</v>
      </c>
      <c r="M16" s="19">
        <f t="shared" si="0"/>
        <v>330000</v>
      </c>
      <c r="N16" s="19">
        <v>330000</v>
      </c>
      <c r="O16" s="4">
        <v>112000</v>
      </c>
      <c r="P16" s="17" t="s">
        <v>23</v>
      </c>
      <c r="Q16" s="17" t="s">
        <v>40</v>
      </c>
      <c r="R16" t="str">
        <f t="shared" si="1"/>
        <v>OK</v>
      </c>
      <c r="S16" s="2">
        <f t="shared" si="2"/>
        <v>1</v>
      </c>
      <c r="T16" s="35">
        <f t="shared" si="3"/>
        <v>106000</v>
      </c>
    </row>
    <row r="17" spans="1:20" x14ac:dyDescent="0.25">
      <c r="A17" s="21">
        <v>100016</v>
      </c>
      <c r="B17" s="22">
        <v>46228</v>
      </c>
      <c r="C17" s="23" t="s">
        <v>42</v>
      </c>
      <c r="D17" s="17" t="s">
        <v>26</v>
      </c>
      <c r="E17" s="23" t="s">
        <v>37</v>
      </c>
      <c r="F17" s="23" t="s">
        <v>44</v>
      </c>
      <c r="G17" s="17" t="s">
        <v>241</v>
      </c>
      <c r="H17" s="23" t="s">
        <v>68</v>
      </c>
      <c r="I17" s="23" t="s">
        <v>22</v>
      </c>
      <c r="J17" s="24">
        <v>1</v>
      </c>
      <c r="K17" s="25">
        <v>6500</v>
      </c>
      <c r="L17" s="26">
        <v>0.1</v>
      </c>
      <c r="M17" s="19">
        <f t="shared" si="0"/>
        <v>5850</v>
      </c>
      <c r="N17" s="25">
        <v>4680</v>
      </c>
      <c r="O17" s="4">
        <v>2200</v>
      </c>
      <c r="P17" s="27" t="s">
        <v>23</v>
      </c>
      <c r="Q17" s="17" t="s">
        <v>31</v>
      </c>
      <c r="R17" t="str">
        <f t="shared" si="1"/>
        <v>REVENUE MISMATCH</v>
      </c>
      <c r="S17" s="2">
        <f t="shared" si="2"/>
        <v>0.8</v>
      </c>
      <c r="T17" s="35">
        <f t="shared" si="3"/>
        <v>3650</v>
      </c>
    </row>
    <row r="18" spans="1:20" x14ac:dyDescent="0.25">
      <c r="A18" s="14">
        <v>100017</v>
      </c>
      <c r="B18" s="15">
        <v>46032</v>
      </c>
      <c r="C18" s="16" t="s">
        <v>35</v>
      </c>
      <c r="D18" s="17" t="s">
        <v>36</v>
      </c>
      <c r="E18" s="16" t="s">
        <v>18</v>
      </c>
      <c r="F18" s="16" t="s">
        <v>19</v>
      </c>
      <c r="G18" s="17" t="s">
        <v>52</v>
      </c>
      <c r="H18" s="16" t="s">
        <v>69</v>
      </c>
      <c r="I18" s="16" t="s">
        <v>22</v>
      </c>
      <c r="J18" s="18">
        <v>2</v>
      </c>
      <c r="K18" s="19">
        <v>42000</v>
      </c>
      <c r="L18" s="20">
        <v>0</v>
      </c>
      <c r="M18" s="19">
        <f t="shared" si="0"/>
        <v>84000</v>
      </c>
      <c r="N18" s="19">
        <v>84000</v>
      </c>
      <c r="O18" s="4">
        <v>28000</v>
      </c>
      <c r="P18" s="17" t="s">
        <v>23</v>
      </c>
      <c r="Q18" s="17" t="s">
        <v>64</v>
      </c>
      <c r="R18" t="str">
        <f t="shared" si="1"/>
        <v>OK</v>
      </c>
      <c r="S18" s="2">
        <f t="shared" si="2"/>
        <v>1</v>
      </c>
      <c r="T18" s="35">
        <f t="shared" si="3"/>
        <v>28000</v>
      </c>
    </row>
    <row r="19" spans="1:20" x14ac:dyDescent="0.25">
      <c r="A19" s="21">
        <v>100018</v>
      </c>
      <c r="B19" s="22">
        <v>46141</v>
      </c>
      <c r="C19" s="23" t="s">
        <v>55</v>
      </c>
      <c r="D19" s="17" t="s">
        <v>56</v>
      </c>
      <c r="E19" s="23" t="s">
        <v>43</v>
      </c>
      <c r="F19" s="23" t="s">
        <v>44</v>
      </c>
      <c r="G19" s="17" t="s">
        <v>241</v>
      </c>
      <c r="H19" s="23" t="s">
        <v>70</v>
      </c>
      <c r="I19" s="23" t="s">
        <v>30</v>
      </c>
      <c r="J19" s="24">
        <v>22</v>
      </c>
      <c r="K19" s="25">
        <v>6500</v>
      </c>
      <c r="L19" s="26">
        <v>0.15</v>
      </c>
      <c r="M19" s="19">
        <f t="shared" si="0"/>
        <v>121550</v>
      </c>
      <c r="N19" s="25">
        <v>121550</v>
      </c>
      <c r="O19" s="4">
        <v>2200</v>
      </c>
      <c r="P19" s="27" t="s">
        <v>23</v>
      </c>
      <c r="Q19" s="17" t="s">
        <v>31</v>
      </c>
      <c r="R19" t="str">
        <f t="shared" si="1"/>
        <v>OK</v>
      </c>
      <c r="S19" s="2">
        <f t="shared" si="2"/>
        <v>1</v>
      </c>
      <c r="T19" s="35">
        <f t="shared" si="3"/>
        <v>73150</v>
      </c>
    </row>
    <row r="20" spans="1:20" x14ac:dyDescent="0.25">
      <c r="A20" s="14">
        <v>100019</v>
      </c>
      <c r="B20" s="15">
        <v>46148</v>
      </c>
      <c r="C20" s="16" t="s">
        <v>25</v>
      </c>
      <c r="D20" s="17" t="s">
        <v>26</v>
      </c>
      <c r="E20" s="16" t="s">
        <v>43</v>
      </c>
      <c r="F20" s="16" t="s">
        <v>27</v>
      </c>
      <c r="G20" s="17" t="s">
        <v>38</v>
      </c>
      <c r="H20" s="16" t="s">
        <v>71</v>
      </c>
      <c r="I20" s="16" t="s">
        <v>30</v>
      </c>
      <c r="J20" s="18">
        <v>1</v>
      </c>
      <c r="K20" s="19">
        <v>26000</v>
      </c>
      <c r="L20" s="20">
        <v>0.15</v>
      </c>
      <c r="M20" s="19">
        <f t="shared" si="0"/>
        <v>22100</v>
      </c>
      <c r="N20" s="19">
        <v>22100</v>
      </c>
      <c r="O20" s="4">
        <v>15000</v>
      </c>
      <c r="P20" s="17" t="s">
        <v>23</v>
      </c>
      <c r="Q20" s="17" t="s">
        <v>47</v>
      </c>
      <c r="R20" t="str">
        <f t="shared" si="1"/>
        <v>OK</v>
      </c>
      <c r="S20" s="2">
        <f t="shared" si="2"/>
        <v>1</v>
      </c>
      <c r="T20" s="35">
        <f t="shared" si="3"/>
        <v>7100</v>
      </c>
    </row>
    <row r="21" spans="1:20" x14ac:dyDescent="0.25">
      <c r="A21" s="21">
        <v>100020</v>
      </c>
      <c r="B21" s="22">
        <v>46131</v>
      </c>
      <c r="C21" s="23" t="s">
        <v>16</v>
      </c>
      <c r="D21" s="17" t="s">
        <v>17</v>
      </c>
      <c r="E21" s="23" t="s">
        <v>43</v>
      </c>
      <c r="F21" s="23" t="s">
        <v>27</v>
      </c>
      <c r="G21" s="17" t="s">
        <v>38</v>
      </c>
      <c r="H21" s="23" t="s">
        <v>72</v>
      </c>
      <c r="I21" s="23" t="s">
        <v>30</v>
      </c>
      <c r="J21" s="24">
        <v>1</v>
      </c>
      <c r="K21" s="25">
        <v>26000</v>
      </c>
      <c r="L21" s="26">
        <v>0.25</v>
      </c>
      <c r="M21" s="19">
        <f t="shared" si="0"/>
        <v>19500</v>
      </c>
      <c r="N21" s="25">
        <v>19500</v>
      </c>
      <c r="O21" s="4">
        <v>15000</v>
      </c>
      <c r="P21" s="27" t="s">
        <v>23</v>
      </c>
      <c r="Q21" s="17" t="s">
        <v>64</v>
      </c>
      <c r="R21" t="str">
        <f t="shared" si="1"/>
        <v>OK</v>
      </c>
      <c r="S21" s="2">
        <f t="shared" si="2"/>
        <v>1</v>
      </c>
      <c r="T21" s="35">
        <f t="shared" si="3"/>
        <v>4500</v>
      </c>
    </row>
    <row r="22" spans="1:20" x14ac:dyDescent="0.25">
      <c r="A22" s="14">
        <v>100021</v>
      </c>
      <c r="B22" s="15">
        <v>46148</v>
      </c>
      <c r="C22" s="16" t="s">
        <v>16</v>
      </c>
      <c r="D22" s="17" t="s">
        <v>17</v>
      </c>
      <c r="E22" s="16" t="s">
        <v>18</v>
      </c>
      <c r="F22" s="16" t="s">
        <v>27</v>
      </c>
      <c r="G22" s="17" t="s">
        <v>38</v>
      </c>
      <c r="H22" s="16" t="s">
        <v>73</v>
      </c>
      <c r="I22" s="16" t="s">
        <v>22</v>
      </c>
      <c r="J22" s="18">
        <v>1</v>
      </c>
      <c r="K22" s="19">
        <v>26000</v>
      </c>
      <c r="L22" s="20">
        <v>0</v>
      </c>
      <c r="M22" s="19">
        <f t="shared" si="0"/>
        <v>26000</v>
      </c>
      <c r="N22" s="19">
        <v>26000</v>
      </c>
      <c r="O22" s="4">
        <v>15000</v>
      </c>
      <c r="P22" s="17" t="s">
        <v>23</v>
      </c>
      <c r="Q22" s="17" t="s">
        <v>31</v>
      </c>
      <c r="R22" t="str">
        <f t="shared" si="1"/>
        <v>OK</v>
      </c>
      <c r="S22" s="2">
        <f t="shared" si="2"/>
        <v>1</v>
      </c>
      <c r="T22" s="35">
        <f t="shared" si="3"/>
        <v>11000</v>
      </c>
    </row>
    <row r="23" spans="1:20" x14ac:dyDescent="0.25">
      <c r="A23" s="21">
        <v>100022</v>
      </c>
      <c r="B23" s="22">
        <v>46033</v>
      </c>
      <c r="C23" s="23" t="s">
        <v>50</v>
      </c>
      <c r="D23" s="17" t="s">
        <v>51</v>
      </c>
      <c r="E23" s="23" t="s">
        <v>18</v>
      </c>
      <c r="F23" s="23" t="s">
        <v>44</v>
      </c>
      <c r="G23" s="17" t="s">
        <v>65</v>
      </c>
      <c r="H23" s="23" t="s">
        <v>66</v>
      </c>
      <c r="I23" s="23" t="s">
        <v>22</v>
      </c>
      <c r="J23" s="24">
        <v>1</v>
      </c>
      <c r="K23" s="25">
        <v>28000</v>
      </c>
      <c r="L23" s="26">
        <v>0.05</v>
      </c>
      <c r="M23" s="19">
        <f t="shared" si="0"/>
        <v>26600</v>
      </c>
      <c r="N23" s="25">
        <v>26600</v>
      </c>
      <c r="O23" s="4">
        <v>16000</v>
      </c>
      <c r="P23" s="27" t="s">
        <v>23</v>
      </c>
      <c r="Q23" s="17" t="s">
        <v>47</v>
      </c>
      <c r="R23" t="str">
        <f t="shared" si="1"/>
        <v>OK</v>
      </c>
      <c r="S23" s="2">
        <f t="shared" si="2"/>
        <v>1</v>
      </c>
      <c r="T23" s="35">
        <f t="shared" si="3"/>
        <v>10600</v>
      </c>
    </row>
    <row r="24" spans="1:20" x14ac:dyDescent="0.25">
      <c r="A24" s="14">
        <v>100023</v>
      </c>
      <c r="B24" s="15">
        <v>46052</v>
      </c>
      <c r="C24" s="16" t="s">
        <v>32</v>
      </c>
      <c r="D24" s="17" t="s">
        <v>17</v>
      </c>
      <c r="E24" s="16" t="s">
        <v>37</v>
      </c>
      <c r="F24" s="16" t="s">
        <v>27</v>
      </c>
      <c r="G24" s="17" t="s">
        <v>33</v>
      </c>
      <c r="H24" s="16" t="s">
        <v>74</v>
      </c>
      <c r="I24" s="16" t="s">
        <v>30</v>
      </c>
      <c r="J24" s="18">
        <v>1</v>
      </c>
      <c r="K24" s="19">
        <v>32000</v>
      </c>
      <c r="L24" s="20">
        <v>0.15</v>
      </c>
      <c r="M24" s="19">
        <f t="shared" si="0"/>
        <v>27200</v>
      </c>
      <c r="N24" s="19">
        <v>27200</v>
      </c>
      <c r="O24" s="4">
        <v>19000</v>
      </c>
      <c r="P24" s="17" t="s">
        <v>23</v>
      </c>
      <c r="Q24" s="17" t="s">
        <v>58</v>
      </c>
      <c r="R24" t="str">
        <f t="shared" si="1"/>
        <v>OK</v>
      </c>
      <c r="S24" s="2">
        <f t="shared" si="2"/>
        <v>1</v>
      </c>
      <c r="T24" s="35">
        <f t="shared" si="3"/>
        <v>8200</v>
      </c>
    </row>
    <row r="25" spans="1:20" x14ac:dyDescent="0.25">
      <c r="A25" s="21">
        <v>100024</v>
      </c>
      <c r="B25" s="22">
        <v>46150</v>
      </c>
      <c r="C25" s="23" t="s">
        <v>32</v>
      </c>
      <c r="D25" s="17" t="s">
        <v>17</v>
      </c>
      <c r="E25" s="23" t="s">
        <v>43</v>
      </c>
      <c r="F25" s="23" t="s">
        <v>19</v>
      </c>
      <c r="G25" s="17" t="s">
        <v>20</v>
      </c>
      <c r="H25" s="23" t="s">
        <v>75</v>
      </c>
      <c r="I25" s="23" t="s">
        <v>22</v>
      </c>
      <c r="J25" s="24">
        <v>2</v>
      </c>
      <c r="K25" s="25">
        <v>58000</v>
      </c>
      <c r="L25" s="26">
        <v>0.2</v>
      </c>
      <c r="M25" s="19">
        <f t="shared" si="0"/>
        <v>92800</v>
      </c>
      <c r="N25" s="25">
        <v>92800</v>
      </c>
      <c r="O25" s="4">
        <v>39000</v>
      </c>
      <c r="P25" s="27" t="s">
        <v>76</v>
      </c>
      <c r="Q25" s="17" t="s">
        <v>40</v>
      </c>
      <c r="R25" t="str">
        <f t="shared" si="1"/>
        <v>OK</v>
      </c>
      <c r="S25" s="2">
        <f t="shared" si="2"/>
        <v>1</v>
      </c>
      <c r="T25" s="35">
        <f t="shared" si="3"/>
        <v>14800</v>
      </c>
    </row>
    <row r="26" spans="1:20" x14ac:dyDescent="0.25">
      <c r="A26" s="14">
        <v>100025</v>
      </c>
      <c r="B26" s="15">
        <v>46027</v>
      </c>
      <c r="C26" s="16" t="s">
        <v>35</v>
      </c>
      <c r="D26" s="17" t="s">
        <v>36</v>
      </c>
      <c r="E26" s="16" t="s">
        <v>43</v>
      </c>
      <c r="F26" s="16" t="s">
        <v>19</v>
      </c>
      <c r="G26" s="17" t="s">
        <v>20</v>
      </c>
      <c r="H26" s="16" t="s">
        <v>77</v>
      </c>
      <c r="I26" s="16" t="s">
        <v>30</v>
      </c>
      <c r="J26" s="18">
        <v>5</v>
      </c>
      <c r="K26" s="19">
        <v>58000</v>
      </c>
      <c r="L26" s="20">
        <v>0.05</v>
      </c>
      <c r="M26" s="19">
        <f t="shared" si="0"/>
        <v>275500</v>
      </c>
      <c r="N26" s="19">
        <v>275500</v>
      </c>
      <c r="O26" s="4">
        <v>39000</v>
      </c>
      <c r="P26" s="17" t="s">
        <v>23</v>
      </c>
      <c r="Q26" s="17" t="s">
        <v>58</v>
      </c>
      <c r="R26" t="str">
        <f t="shared" si="1"/>
        <v>OK</v>
      </c>
      <c r="S26" s="2">
        <f t="shared" si="2"/>
        <v>1</v>
      </c>
      <c r="T26" s="35">
        <f t="shared" si="3"/>
        <v>80500</v>
      </c>
    </row>
    <row r="27" spans="1:20" x14ac:dyDescent="0.25">
      <c r="A27" s="21">
        <v>100026</v>
      </c>
      <c r="B27" s="22">
        <v>46203</v>
      </c>
      <c r="C27" s="23" t="s">
        <v>50</v>
      </c>
      <c r="D27" s="17" t="s">
        <v>51</v>
      </c>
      <c r="E27" s="23" t="s">
        <v>43</v>
      </c>
      <c r="F27" s="23" t="s">
        <v>44</v>
      </c>
      <c r="G27" s="17" t="s">
        <v>60</v>
      </c>
      <c r="H27" s="23" t="s">
        <v>78</v>
      </c>
      <c r="I27" s="23" t="s">
        <v>30</v>
      </c>
      <c r="J27" s="24">
        <v>2</v>
      </c>
      <c r="K27" s="25">
        <v>9000</v>
      </c>
      <c r="L27" s="26">
        <v>0.1</v>
      </c>
      <c r="M27" s="19">
        <f t="shared" si="0"/>
        <v>16200</v>
      </c>
      <c r="N27" s="25">
        <v>16200</v>
      </c>
      <c r="O27" s="4">
        <v>3500</v>
      </c>
      <c r="P27" s="27" t="s">
        <v>23</v>
      </c>
      <c r="Q27" s="17" t="s">
        <v>24</v>
      </c>
      <c r="R27" t="str">
        <f t="shared" si="1"/>
        <v>OK</v>
      </c>
      <c r="S27" s="2">
        <f t="shared" si="2"/>
        <v>1</v>
      </c>
      <c r="T27" s="35">
        <f t="shared" si="3"/>
        <v>9200</v>
      </c>
    </row>
    <row r="28" spans="1:20" x14ac:dyDescent="0.25">
      <c r="A28" s="14">
        <v>100027</v>
      </c>
      <c r="B28" s="15">
        <v>46142</v>
      </c>
      <c r="C28" s="16" t="s">
        <v>35</v>
      </c>
      <c r="D28" s="17" t="s">
        <v>36</v>
      </c>
      <c r="E28" s="16" t="s">
        <v>18</v>
      </c>
      <c r="F28" s="16" t="s">
        <v>19</v>
      </c>
      <c r="G28" s="17" t="s">
        <v>20</v>
      </c>
      <c r="H28" s="16" t="s">
        <v>79</v>
      </c>
      <c r="I28" s="16" t="s">
        <v>22</v>
      </c>
      <c r="J28" s="18">
        <v>4</v>
      </c>
      <c r="K28" s="19">
        <v>58000</v>
      </c>
      <c r="L28" s="20">
        <v>0.05</v>
      </c>
      <c r="M28" s="19">
        <f t="shared" si="0"/>
        <v>220400</v>
      </c>
      <c r="N28" s="19">
        <v>220400</v>
      </c>
      <c r="O28" s="4">
        <v>39000</v>
      </c>
      <c r="P28" s="17" t="s">
        <v>23</v>
      </c>
      <c r="Q28" s="17" t="s">
        <v>58</v>
      </c>
      <c r="R28" t="str">
        <f t="shared" si="1"/>
        <v>OK</v>
      </c>
      <c r="S28" s="2">
        <f t="shared" si="2"/>
        <v>1</v>
      </c>
      <c r="T28" s="35">
        <f t="shared" si="3"/>
        <v>64400</v>
      </c>
    </row>
    <row r="29" spans="1:20" x14ac:dyDescent="0.25">
      <c r="A29" s="21">
        <v>100028</v>
      </c>
      <c r="B29" s="22">
        <v>46156</v>
      </c>
      <c r="C29" s="23" t="s">
        <v>32</v>
      </c>
      <c r="D29" s="17" t="s">
        <v>17</v>
      </c>
      <c r="E29" s="23" t="s">
        <v>37</v>
      </c>
      <c r="F29" s="23" t="s">
        <v>27</v>
      </c>
      <c r="G29" s="17" t="s">
        <v>38</v>
      </c>
      <c r="H29" s="23" t="s">
        <v>80</v>
      </c>
      <c r="I29" s="23" t="s">
        <v>30</v>
      </c>
      <c r="J29" s="24">
        <v>22</v>
      </c>
      <c r="K29" s="25">
        <v>26000</v>
      </c>
      <c r="L29" s="26">
        <v>0.25</v>
      </c>
      <c r="M29" s="19">
        <f t="shared" si="0"/>
        <v>429000</v>
      </c>
      <c r="N29" s="25">
        <v>429000</v>
      </c>
      <c r="O29" s="4">
        <v>15000</v>
      </c>
      <c r="P29" s="27" t="s">
        <v>23</v>
      </c>
      <c r="Q29" s="17" t="s">
        <v>47</v>
      </c>
      <c r="R29" t="str">
        <f t="shared" si="1"/>
        <v>OK</v>
      </c>
      <c r="S29" s="2">
        <f t="shared" si="2"/>
        <v>1</v>
      </c>
      <c r="T29" s="35">
        <f t="shared" si="3"/>
        <v>99000</v>
      </c>
    </row>
    <row r="30" spans="1:20" x14ac:dyDescent="0.25">
      <c r="A30" s="14">
        <v>100029</v>
      </c>
      <c r="B30" s="15">
        <v>46103</v>
      </c>
      <c r="C30" s="16" t="s">
        <v>32</v>
      </c>
      <c r="D30" s="17" t="s">
        <v>17</v>
      </c>
      <c r="E30" s="16" t="s">
        <v>43</v>
      </c>
      <c r="F30" s="16" t="s">
        <v>19</v>
      </c>
      <c r="G30" s="17" t="s">
        <v>20</v>
      </c>
      <c r="H30" s="16" t="s">
        <v>81</v>
      </c>
      <c r="I30" s="16" t="s">
        <v>30</v>
      </c>
      <c r="J30" s="18">
        <v>5</v>
      </c>
      <c r="K30" s="19">
        <v>58000</v>
      </c>
      <c r="L30" s="20">
        <v>0.1</v>
      </c>
      <c r="M30" s="19">
        <f t="shared" si="0"/>
        <v>261000</v>
      </c>
      <c r="N30" s="19">
        <v>261000</v>
      </c>
      <c r="O30" s="4">
        <v>39000</v>
      </c>
      <c r="P30" s="17" t="s">
        <v>23</v>
      </c>
      <c r="Q30" s="17" t="s">
        <v>24</v>
      </c>
      <c r="R30" t="str">
        <f t="shared" si="1"/>
        <v>OK</v>
      </c>
      <c r="S30" s="2">
        <f t="shared" si="2"/>
        <v>1</v>
      </c>
      <c r="T30" s="35">
        <f t="shared" si="3"/>
        <v>66000</v>
      </c>
    </row>
    <row r="31" spans="1:20" x14ac:dyDescent="0.25">
      <c r="A31" s="21">
        <v>100030</v>
      </c>
      <c r="B31" s="22">
        <v>46209</v>
      </c>
      <c r="C31" s="23" t="s">
        <v>35</v>
      </c>
      <c r="D31" s="17" t="s">
        <v>36</v>
      </c>
      <c r="E31" s="23" t="s">
        <v>37</v>
      </c>
      <c r="F31" s="23" t="s">
        <v>27</v>
      </c>
      <c r="G31" s="17" t="s">
        <v>38</v>
      </c>
      <c r="H31" s="23" t="s">
        <v>82</v>
      </c>
      <c r="I31" s="23" t="s">
        <v>22</v>
      </c>
      <c r="J31" s="24">
        <v>1</v>
      </c>
      <c r="K31" s="25">
        <v>26000</v>
      </c>
      <c r="L31" s="26">
        <v>0.05</v>
      </c>
      <c r="M31" s="19">
        <f t="shared" si="0"/>
        <v>24700</v>
      </c>
      <c r="N31" s="25">
        <v>24700</v>
      </c>
      <c r="O31" s="4">
        <v>15000</v>
      </c>
      <c r="P31" s="27" t="s">
        <v>23</v>
      </c>
      <c r="Q31" s="17" t="s">
        <v>58</v>
      </c>
      <c r="R31" t="str">
        <f t="shared" si="1"/>
        <v>OK</v>
      </c>
      <c r="S31" s="2">
        <f t="shared" si="2"/>
        <v>1</v>
      </c>
      <c r="T31" s="35">
        <f t="shared" si="3"/>
        <v>9700</v>
      </c>
    </row>
    <row r="32" spans="1:20" x14ac:dyDescent="0.25">
      <c r="A32" s="14">
        <v>100031</v>
      </c>
      <c r="B32" s="15">
        <v>46182</v>
      </c>
      <c r="C32" s="16" t="s">
        <v>32</v>
      </c>
      <c r="D32" s="17" t="s">
        <v>17</v>
      </c>
      <c r="E32" s="16" t="s">
        <v>43</v>
      </c>
      <c r="F32" s="16" t="s">
        <v>19</v>
      </c>
      <c r="G32" s="17" t="s">
        <v>20</v>
      </c>
      <c r="H32" s="16" t="s">
        <v>83</v>
      </c>
      <c r="I32" s="16" t="s">
        <v>22</v>
      </c>
      <c r="J32" s="18">
        <v>2</v>
      </c>
      <c r="K32" s="19">
        <v>58000</v>
      </c>
      <c r="L32" s="20">
        <v>0.15</v>
      </c>
      <c r="M32" s="19">
        <f t="shared" si="0"/>
        <v>98600</v>
      </c>
      <c r="N32" s="19">
        <v>98600</v>
      </c>
      <c r="O32" s="4">
        <v>39000</v>
      </c>
      <c r="P32" s="17" t="s">
        <v>23</v>
      </c>
      <c r="Q32" s="17" t="s">
        <v>84</v>
      </c>
      <c r="R32" t="str">
        <f t="shared" si="1"/>
        <v>OK</v>
      </c>
      <c r="S32" s="2">
        <f t="shared" si="2"/>
        <v>1</v>
      </c>
      <c r="T32" s="35">
        <f t="shared" si="3"/>
        <v>20600</v>
      </c>
    </row>
    <row r="33" spans="1:20" x14ac:dyDescent="0.25">
      <c r="A33" s="21">
        <v>100032</v>
      </c>
      <c r="B33" s="22">
        <v>46109</v>
      </c>
      <c r="C33" s="23" t="s">
        <v>55</v>
      </c>
      <c r="D33" s="17" t="s">
        <v>56</v>
      </c>
      <c r="E33" s="23" t="s">
        <v>37</v>
      </c>
      <c r="F33" s="23" t="s">
        <v>19</v>
      </c>
      <c r="G33" s="17" t="s">
        <v>62</v>
      </c>
      <c r="H33" s="23" t="s">
        <v>49</v>
      </c>
      <c r="I33" s="23" t="s">
        <v>22</v>
      </c>
      <c r="J33" s="24">
        <v>1</v>
      </c>
      <c r="K33" s="25">
        <v>24000</v>
      </c>
      <c r="L33" s="26">
        <v>0.05</v>
      </c>
      <c r="M33" s="19">
        <f t="shared" si="0"/>
        <v>22800</v>
      </c>
      <c r="N33" s="25">
        <v>22800</v>
      </c>
      <c r="O33" s="4">
        <v>15000</v>
      </c>
      <c r="P33" s="27" t="s">
        <v>23</v>
      </c>
      <c r="Q33" s="17" t="s">
        <v>31</v>
      </c>
      <c r="R33" t="str">
        <f t="shared" si="1"/>
        <v>OK</v>
      </c>
      <c r="S33" s="2">
        <f t="shared" si="2"/>
        <v>1</v>
      </c>
      <c r="T33" s="35">
        <f t="shared" si="3"/>
        <v>7800</v>
      </c>
    </row>
    <row r="34" spans="1:20" x14ac:dyDescent="0.25">
      <c r="A34" s="14">
        <v>100033</v>
      </c>
      <c r="B34" s="15">
        <v>46152</v>
      </c>
      <c r="C34" s="16" t="s">
        <v>25</v>
      </c>
      <c r="D34" s="17" t="s">
        <v>26</v>
      </c>
      <c r="E34" s="16" t="s">
        <v>43</v>
      </c>
      <c r="F34" s="16" t="s">
        <v>19</v>
      </c>
      <c r="G34" s="17" t="s">
        <v>20</v>
      </c>
      <c r="H34" s="16" t="s">
        <v>85</v>
      </c>
      <c r="I34" s="16" t="s">
        <v>22</v>
      </c>
      <c r="J34" s="18">
        <v>3</v>
      </c>
      <c r="K34" s="19">
        <v>58000</v>
      </c>
      <c r="L34" s="20">
        <v>0</v>
      </c>
      <c r="M34" s="19">
        <f t="shared" si="0"/>
        <v>174000</v>
      </c>
      <c r="N34" s="19">
        <v>174000</v>
      </c>
      <c r="O34" s="4">
        <v>39000</v>
      </c>
      <c r="P34" s="17" t="s">
        <v>23</v>
      </c>
      <c r="Q34" s="17" t="s">
        <v>84</v>
      </c>
      <c r="R34" t="str">
        <f t="shared" si="1"/>
        <v>OK</v>
      </c>
      <c r="S34" s="2">
        <f t="shared" si="2"/>
        <v>1</v>
      </c>
      <c r="T34" s="35">
        <f t="shared" si="3"/>
        <v>57000</v>
      </c>
    </row>
    <row r="35" spans="1:20" x14ac:dyDescent="0.25">
      <c r="A35" s="21">
        <v>100034</v>
      </c>
      <c r="B35" s="22">
        <v>46157</v>
      </c>
      <c r="C35" s="23" t="s">
        <v>55</v>
      </c>
      <c r="D35" s="17" t="s">
        <v>56</v>
      </c>
      <c r="E35" s="23" t="s">
        <v>43</v>
      </c>
      <c r="F35" s="23" t="s">
        <v>19</v>
      </c>
      <c r="G35" s="17" t="s">
        <v>20</v>
      </c>
      <c r="H35" s="23" t="s">
        <v>86</v>
      </c>
      <c r="I35" s="23" t="s">
        <v>30</v>
      </c>
      <c r="J35" s="24">
        <v>1</v>
      </c>
      <c r="K35" s="25">
        <v>58000</v>
      </c>
      <c r="L35" s="26">
        <v>0.15</v>
      </c>
      <c r="M35" s="19">
        <f t="shared" si="0"/>
        <v>49300</v>
      </c>
      <c r="N35" s="25">
        <v>49300</v>
      </c>
      <c r="O35" s="4">
        <v>39000</v>
      </c>
      <c r="P35" s="27" t="s">
        <v>23</v>
      </c>
      <c r="Q35" s="17" t="s">
        <v>47</v>
      </c>
      <c r="R35" t="str">
        <f t="shared" si="1"/>
        <v>OK</v>
      </c>
      <c r="S35" s="2">
        <f t="shared" si="2"/>
        <v>1</v>
      </c>
      <c r="T35" s="35">
        <f t="shared" si="3"/>
        <v>10300</v>
      </c>
    </row>
    <row r="36" spans="1:20" x14ac:dyDescent="0.25">
      <c r="A36" s="14">
        <v>100035</v>
      </c>
      <c r="B36" s="15">
        <v>46076</v>
      </c>
      <c r="C36" s="16" t="s">
        <v>35</v>
      </c>
      <c r="D36" s="17" t="s">
        <v>36</v>
      </c>
      <c r="E36" s="16" t="s">
        <v>43</v>
      </c>
      <c r="F36" s="16" t="s">
        <v>44</v>
      </c>
      <c r="G36" s="17" t="s">
        <v>65</v>
      </c>
      <c r="H36" s="16" t="s">
        <v>87</v>
      </c>
      <c r="I36" s="16" t="s">
        <v>30</v>
      </c>
      <c r="J36" s="18">
        <v>25</v>
      </c>
      <c r="K36" s="19">
        <v>28000</v>
      </c>
      <c r="L36" s="20">
        <v>0.05</v>
      </c>
      <c r="M36" s="19">
        <f t="shared" si="0"/>
        <v>665000</v>
      </c>
      <c r="N36" s="19">
        <v>665000</v>
      </c>
      <c r="O36" s="4">
        <v>16000</v>
      </c>
      <c r="P36" s="17" t="s">
        <v>23</v>
      </c>
      <c r="Q36" s="17" t="s">
        <v>64</v>
      </c>
      <c r="R36" t="str">
        <f t="shared" si="1"/>
        <v>OK</v>
      </c>
      <c r="S36" s="2">
        <f t="shared" si="2"/>
        <v>1</v>
      </c>
      <c r="T36" s="35">
        <f t="shared" si="3"/>
        <v>265000</v>
      </c>
    </row>
    <row r="37" spans="1:20" x14ac:dyDescent="0.25">
      <c r="A37" s="21">
        <v>100036</v>
      </c>
      <c r="B37" s="22">
        <v>46076</v>
      </c>
      <c r="C37" s="23" t="s">
        <v>35</v>
      </c>
      <c r="D37" s="17" t="s">
        <v>36</v>
      </c>
      <c r="E37" s="23" t="s">
        <v>43</v>
      </c>
      <c r="F37" s="23" t="s">
        <v>27</v>
      </c>
      <c r="G37" s="17" t="s">
        <v>33</v>
      </c>
      <c r="H37" s="23" t="s">
        <v>88</v>
      </c>
      <c r="I37" s="23" t="s">
        <v>22</v>
      </c>
      <c r="J37" s="24">
        <v>2</v>
      </c>
      <c r="K37" s="25">
        <v>32000</v>
      </c>
      <c r="L37" s="26">
        <v>0.05</v>
      </c>
      <c r="M37" s="19">
        <f t="shared" si="0"/>
        <v>60800</v>
      </c>
      <c r="N37" s="25">
        <v>60800</v>
      </c>
      <c r="O37" s="4">
        <v>19000</v>
      </c>
      <c r="P37" s="27" t="s">
        <v>76</v>
      </c>
      <c r="Q37" s="17" t="s">
        <v>47</v>
      </c>
      <c r="R37" t="str">
        <f t="shared" si="1"/>
        <v>OK</v>
      </c>
      <c r="S37" s="2">
        <f t="shared" si="2"/>
        <v>1</v>
      </c>
      <c r="T37" s="35">
        <f t="shared" si="3"/>
        <v>22800</v>
      </c>
    </row>
    <row r="38" spans="1:20" x14ac:dyDescent="0.25">
      <c r="A38" s="14">
        <v>100037</v>
      </c>
      <c r="B38" s="15">
        <v>46124</v>
      </c>
      <c r="C38" s="16" t="s">
        <v>32</v>
      </c>
      <c r="D38" s="17" t="s">
        <v>17</v>
      </c>
      <c r="E38" s="16" t="s">
        <v>43</v>
      </c>
      <c r="F38" s="16" t="s">
        <v>44</v>
      </c>
      <c r="G38" s="17" t="s">
        <v>65</v>
      </c>
      <c r="H38" s="16" t="s">
        <v>89</v>
      </c>
      <c r="I38" s="16" t="s">
        <v>22</v>
      </c>
      <c r="J38" s="18">
        <v>2</v>
      </c>
      <c r="K38" s="19">
        <v>28000</v>
      </c>
      <c r="L38" s="20">
        <v>0</v>
      </c>
      <c r="M38" s="19">
        <f t="shared" si="0"/>
        <v>56000</v>
      </c>
      <c r="N38" s="19">
        <v>56000</v>
      </c>
      <c r="O38" s="4">
        <v>16000</v>
      </c>
      <c r="P38" s="17" t="s">
        <v>23</v>
      </c>
      <c r="Q38" s="17" t="s">
        <v>40</v>
      </c>
      <c r="R38" t="str">
        <f t="shared" si="1"/>
        <v>OK</v>
      </c>
      <c r="S38" s="2">
        <f t="shared" si="2"/>
        <v>1</v>
      </c>
      <c r="T38" s="35">
        <f t="shared" si="3"/>
        <v>24000</v>
      </c>
    </row>
    <row r="39" spans="1:20" x14ac:dyDescent="0.25">
      <c r="A39" s="21">
        <v>100038</v>
      </c>
      <c r="B39" s="22">
        <v>46037</v>
      </c>
      <c r="C39" s="23" t="s">
        <v>35</v>
      </c>
      <c r="D39" s="17" t="s">
        <v>36</v>
      </c>
      <c r="E39" s="23" t="s">
        <v>37</v>
      </c>
      <c r="F39" s="23" t="s">
        <v>27</v>
      </c>
      <c r="G39" s="17" t="s">
        <v>33</v>
      </c>
      <c r="H39" s="23" t="s">
        <v>90</v>
      </c>
      <c r="I39" s="23" t="s">
        <v>30</v>
      </c>
      <c r="J39" s="24">
        <v>2</v>
      </c>
      <c r="K39" s="25">
        <v>32000</v>
      </c>
      <c r="L39" s="26">
        <v>0</v>
      </c>
      <c r="M39" s="19">
        <f t="shared" si="0"/>
        <v>64000</v>
      </c>
      <c r="N39" s="25">
        <v>64000</v>
      </c>
      <c r="O39" s="4">
        <v>19000</v>
      </c>
      <c r="P39" s="27" t="s">
        <v>23</v>
      </c>
      <c r="Q39" s="17" t="s">
        <v>84</v>
      </c>
      <c r="R39" t="str">
        <f t="shared" si="1"/>
        <v>OK</v>
      </c>
      <c r="S39" s="2">
        <f t="shared" si="2"/>
        <v>1</v>
      </c>
      <c r="T39" s="35">
        <f t="shared" si="3"/>
        <v>26000</v>
      </c>
    </row>
    <row r="40" spans="1:20" x14ac:dyDescent="0.25">
      <c r="A40" s="14">
        <v>100039</v>
      </c>
      <c r="B40" s="15">
        <v>46116</v>
      </c>
      <c r="C40" s="16" t="s">
        <v>16</v>
      </c>
      <c r="D40" s="17" t="s">
        <v>17</v>
      </c>
      <c r="E40" s="16" t="s">
        <v>37</v>
      </c>
      <c r="F40" s="16" t="s">
        <v>44</v>
      </c>
      <c r="G40" s="17" t="s">
        <v>241</v>
      </c>
      <c r="H40" s="16" t="s">
        <v>91</v>
      </c>
      <c r="I40" s="16" t="s">
        <v>22</v>
      </c>
      <c r="J40" s="18">
        <v>3</v>
      </c>
      <c r="K40" s="19">
        <v>6500</v>
      </c>
      <c r="L40" s="20">
        <v>0.1</v>
      </c>
      <c r="M40" s="19">
        <f t="shared" si="0"/>
        <v>17550</v>
      </c>
      <c r="N40" s="19">
        <v>17550</v>
      </c>
      <c r="O40" s="4">
        <v>2200</v>
      </c>
      <c r="P40" s="17" t="s">
        <v>23</v>
      </c>
      <c r="Q40" s="17" t="s">
        <v>40</v>
      </c>
      <c r="R40" t="str">
        <f t="shared" si="1"/>
        <v>OK</v>
      </c>
      <c r="S40" s="2">
        <f t="shared" si="2"/>
        <v>1</v>
      </c>
      <c r="T40" s="35">
        <f t="shared" si="3"/>
        <v>10950</v>
      </c>
    </row>
    <row r="41" spans="1:20" x14ac:dyDescent="0.25">
      <c r="A41" s="21">
        <v>100040</v>
      </c>
      <c r="B41" s="22">
        <v>46145</v>
      </c>
      <c r="C41" s="23" t="s">
        <v>32</v>
      </c>
      <c r="D41" s="17" t="s">
        <v>17</v>
      </c>
      <c r="E41" s="23" t="s">
        <v>18</v>
      </c>
      <c r="F41" s="23" t="s">
        <v>19</v>
      </c>
      <c r="G41" s="17" t="s">
        <v>20</v>
      </c>
      <c r="H41" s="23" t="s">
        <v>92</v>
      </c>
      <c r="I41" s="23" t="s">
        <v>30</v>
      </c>
      <c r="J41" s="24">
        <v>1</v>
      </c>
      <c r="K41" s="25">
        <v>58000</v>
      </c>
      <c r="L41" s="26">
        <v>0.05</v>
      </c>
      <c r="M41" s="19">
        <f t="shared" si="0"/>
        <v>55100</v>
      </c>
      <c r="N41" s="25">
        <v>55100</v>
      </c>
      <c r="O41" s="4">
        <v>39000</v>
      </c>
      <c r="P41" s="27" t="s">
        <v>23</v>
      </c>
      <c r="Q41" s="17" t="s">
        <v>31</v>
      </c>
      <c r="R41" t="str">
        <f t="shared" si="1"/>
        <v>OK</v>
      </c>
      <c r="S41" s="2">
        <f t="shared" si="2"/>
        <v>1</v>
      </c>
      <c r="T41" s="35">
        <f t="shared" si="3"/>
        <v>16100</v>
      </c>
    </row>
    <row r="42" spans="1:20" x14ac:dyDescent="0.25">
      <c r="A42" s="14">
        <v>100041</v>
      </c>
      <c r="B42" s="15">
        <v>46035</v>
      </c>
      <c r="C42" s="16" t="s">
        <v>55</v>
      </c>
      <c r="D42" s="17" t="s">
        <v>56</v>
      </c>
      <c r="E42" s="16" t="s">
        <v>18</v>
      </c>
      <c r="F42" s="16" t="s">
        <v>27</v>
      </c>
      <c r="G42" s="17" t="s">
        <v>33</v>
      </c>
      <c r="H42" s="16" t="s">
        <v>93</v>
      </c>
      <c r="I42" s="16" t="s">
        <v>30</v>
      </c>
      <c r="J42" s="18">
        <v>3</v>
      </c>
      <c r="K42" s="19">
        <v>32000</v>
      </c>
      <c r="L42" s="20">
        <v>0.1</v>
      </c>
      <c r="M42" s="19">
        <f t="shared" si="0"/>
        <v>86400</v>
      </c>
      <c r="N42" s="19">
        <v>86400</v>
      </c>
      <c r="O42" s="4">
        <v>19000</v>
      </c>
      <c r="P42" s="17" t="s">
        <v>23</v>
      </c>
      <c r="Q42" s="17" t="s">
        <v>47</v>
      </c>
      <c r="R42" t="str">
        <f t="shared" si="1"/>
        <v>OK</v>
      </c>
      <c r="S42" s="2">
        <f t="shared" si="2"/>
        <v>1</v>
      </c>
      <c r="T42" s="35">
        <f t="shared" si="3"/>
        <v>29400</v>
      </c>
    </row>
    <row r="43" spans="1:20" x14ac:dyDescent="0.25">
      <c r="A43" s="21">
        <v>100042</v>
      </c>
      <c r="B43" s="22">
        <v>46151</v>
      </c>
      <c r="C43" s="23" t="s">
        <v>50</v>
      </c>
      <c r="D43" s="17" t="s">
        <v>51</v>
      </c>
      <c r="E43" s="23" t="s">
        <v>18</v>
      </c>
      <c r="F43" s="23" t="s">
        <v>27</v>
      </c>
      <c r="G43" s="17" t="s">
        <v>28</v>
      </c>
      <c r="H43" s="23" t="s">
        <v>94</v>
      </c>
      <c r="I43" s="23" t="s">
        <v>30</v>
      </c>
      <c r="J43" s="24">
        <v>2</v>
      </c>
      <c r="K43" s="25">
        <v>165000</v>
      </c>
      <c r="L43" s="26">
        <v>0</v>
      </c>
      <c r="M43" s="19">
        <f t="shared" si="0"/>
        <v>330000</v>
      </c>
      <c r="N43" s="25">
        <v>330000</v>
      </c>
      <c r="O43" s="4">
        <v>112000</v>
      </c>
      <c r="P43" s="27" t="s">
        <v>23</v>
      </c>
      <c r="Q43" s="17" t="s">
        <v>24</v>
      </c>
      <c r="R43" t="str">
        <f t="shared" si="1"/>
        <v>OK</v>
      </c>
      <c r="S43" s="2">
        <f t="shared" si="2"/>
        <v>1</v>
      </c>
      <c r="T43" s="35">
        <f t="shared" si="3"/>
        <v>106000</v>
      </c>
    </row>
    <row r="44" spans="1:20" x14ac:dyDescent="0.25">
      <c r="A44" s="14">
        <v>100043</v>
      </c>
      <c r="B44" s="15">
        <v>46188</v>
      </c>
      <c r="C44" s="16" t="s">
        <v>50</v>
      </c>
      <c r="D44" s="17" t="s">
        <v>51</v>
      </c>
      <c r="E44" s="16" t="s">
        <v>43</v>
      </c>
      <c r="F44" s="16" t="s">
        <v>19</v>
      </c>
      <c r="G44" s="17" t="s">
        <v>62</v>
      </c>
      <c r="H44" s="16" t="s">
        <v>95</v>
      </c>
      <c r="I44" s="16" t="s">
        <v>30</v>
      </c>
      <c r="J44" s="18">
        <v>2</v>
      </c>
      <c r="K44" s="19">
        <v>24000</v>
      </c>
      <c r="L44" s="20">
        <v>0.15</v>
      </c>
      <c r="M44" s="19">
        <f t="shared" si="0"/>
        <v>40800</v>
      </c>
      <c r="N44" s="19">
        <v>40800</v>
      </c>
      <c r="O44" s="4">
        <v>15000</v>
      </c>
      <c r="P44" s="17" t="s">
        <v>23</v>
      </c>
      <c r="Q44" s="17" t="s">
        <v>47</v>
      </c>
      <c r="R44" t="str">
        <f t="shared" si="1"/>
        <v>OK</v>
      </c>
      <c r="S44" s="2">
        <f t="shared" si="2"/>
        <v>1</v>
      </c>
      <c r="T44" s="35">
        <f t="shared" si="3"/>
        <v>10800</v>
      </c>
    </row>
    <row r="45" spans="1:20" x14ac:dyDescent="0.25">
      <c r="A45" s="21">
        <v>100044</v>
      </c>
      <c r="B45" s="22">
        <v>46167</v>
      </c>
      <c r="C45" s="23" t="s">
        <v>32</v>
      </c>
      <c r="D45" s="17" t="s">
        <v>17</v>
      </c>
      <c r="E45" s="23" t="s">
        <v>37</v>
      </c>
      <c r="F45" s="23" t="s">
        <v>19</v>
      </c>
      <c r="G45" s="17" t="s">
        <v>62</v>
      </c>
      <c r="H45" s="23" t="s">
        <v>96</v>
      </c>
      <c r="I45" s="23" t="s">
        <v>30</v>
      </c>
      <c r="J45" s="24">
        <v>1</v>
      </c>
      <c r="K45" s="25">
        <v>24000</v>
      </c>
      <c r="L45" s="26">
        <v>0.2</v>
      </c>
      <c r="M45" s="19">
        <f t="shared" si="0"/>
        <v>19200</v>
      </c>
      <c r="N45" s="25">
        <v>19200</v>
      </c>
      <c r="O45" s="4">
        <v>15000</v>
      </c>
      <c r="P45" s="27" t="s">
        <v>23</v>
      </c>
      <c r="Q45" s="17" t="s">
        <v>54</v>
      </c>
      <c r="R45" t="str">
        <f t="shared" si="1"/>
        <v>OK</v>
      </c>
      <c r="S45" s="2">
        <f t="shared" si="2"/>
        <v>1</v>
      </c>
      <c r="T45" s="35">
        <f t="shared" si="3"/>
        <v>4200</v>
      </c>
    </row>
    <row r="46" spans="1:20" x14ac:dyDescent="0.25">
      <c r="A46" s="14">
        <v>100045</v>
      </c>
      <c r="B46" s="15">
        <v>46029</v>
      </c>
      <c r="C46" s="16" t="s">
        <v>42</v>
      </c>
      <c r="D46" s="17" t="s">
        <v>26</v>
      </c>
      <c r="E46" s="16" t="s">
        <v>37</v>
      </c>
      <c r="F46" s="16" t="s">
        <v>27</v>
      </c>
      <c r="G46" s="17" t="s">
        <v>33</v>
      </c>
      <c r="H46" s="16" t="s">
        <v>97</v>
      </c>
      <c r="I46" s="16" t="s">
        <v>30</v>
      </c>
      <c r="J46" s="18">
        <v>1</v>
      </c>
      <c r="K46" s="19">
        <v>32000</v>
      </c>
      <c r="L46" s="20">
        <v>0</v>
      </c>
      <c r="M46" s="19">
        <f t="shared" si="0"/>
        <v>32000</v>
      </c>
      <c r="N46" s="19">
        <v>32000</v>
      </c>
      <c r="O46" s="4">
        <v>19000</v>
      </c>
      <c r="P46" s="17" t="s">
        <v>76</v>
      </c>
      <c r="Q46" s="17" t="s">
        <v>54</v>
      </c>
      <c r="R46" t="str">
        <f t="shared" si="1"/>
        <v>OK</v>
      </c>
      <c r="S46" s="2">
        <f t="shared" si="2"/>
        <v>1</v>
      </c>
      <c r="T46" s="35">
        <f t="shared" si="3"/>
        <v>13000</v>
      </c>
    </row>
    <row r="47" spans="1:20" x14ac:dyDescent="0.25">
      <c r="A47" s="21">
        <v>100046</v>
      </c>
      <c r="B47" s="22">
        <v>46145</v>
      </c>
      <c r="C47" s="23" t="s">
        <v>35</v>
      </c>
      <c r="D47" s="17" t="s">
        <v>36</v>
      </c>
      <c r="E47" s="23" t="s">
        <v>43</v>
      </c>
      <c r="F47" s="23" t="s">
        <v>19</v>
      </c>
      <c r="G47" s="17" t="s">
        <v>62</v>
      </c>
      <c r="H47" s="23" t="s">
        <v>98</v>
      </c>
      <c r="I47" s="23" t="s">
        <v>30</v>
      </c>
      <c r="J47" s="24">
        <v>3</v>
      </c>
      <c r="K47" s="25">
        <v>24000</v>
      </c>
      <c r="L47" s="26">
        <v>0.05</v>
      </c>
      <c r="M47" s="19">
        <f t="shared" si="0"/>
        <v>68400</v>
      </c>
      <c r="N47" s="25">
        <v>68400</v>
      </c>
      <c r="O47" s="4">
        <v>15000</v>
      </c>
      <c r="P47" s="27" t="s">
        <v>23</v>
      </c>
      <c r="Q47" s="17" t="s">
        <v>54</v>
      </c>
      <c r="R47" t="str">
        <f t="shared" si="1"/>
        <v>OK</v>
      </c>
      <c r="S47" s="2">
        <f t="shared" si="2"/>
        <v>1</v>
      </c>
      <c r="T47" s="35">
        <f t="shared" si="3"/>
        <v>23400</v>
      </c>
    </row>
    <row r="48" spans="1:20" x14ac:dyDescent="0.25">
      <c r="A48" s="14">
        <v>100047</v>
      </c>
      <c r="B48" s="15">
        <v>46132</v>
      </c>
      <c r="C48" s="16" t="s">
        <v>25</v>
      </c>
      <c r="D48" s="17" t="s">
        <v>26</v>
      </c>
      <c r="E48" s="16" t="s">
        <v>43</v>
      </c>
      <c r="F48" s="16" t="s">
        <v>19</v>
      </c>
      <c r="G48" s="17" t="s">
        <v>20</v>
      </c>
      <c r="H48" s="16" t="s">
        <v>99</v>
      </c>
      <c r="I48" s="16" t="s">
        <v>30</v>
      </c>
      <c r="J48" s="18">
        <v>4</v>
      </c>
      <c r="K48" s="19">
        <v>58000</v>
      </c>
      <c r="L48" s="20">
        <v>0</v>
      </c>
      <c r="M48" s="19">
        <f t="shared" si="0"/>
        <v>232000</v>
      </c>
      <c r="N48" s="19">
        <v>232000</v>
      </c>
      <c r="O48" s="4">
        <v>39000</v>
      </c>
      <c r="P48" s="17" t="s">
        <v>23</v>
      </c>
      <c r="Q48" s="17" t="s">
        <v>84</v>
      </c>
      <c r="R48" t="str">
        <f t="shared" si="1"/>
        <v>OK</v>
      </c>
      <c r="S48" s="2">
        <f t="shared" si="2"/>
        <v>1</v>
      </c>
      <c r="T48" s="35">
        <f t="shared" si="3"/>
        <v>76000</v>
      </c>
    </row>
    <row r="49" spans="1:20" x14ac:dyDescent="0.25">
      <c r="A49" s="21">
        <v>100048</v>
      </c>
      <c r="B49" s="22">
        <v>46039</v>
      </c>
      <c r="C49" s="23" t="s">
        <v>35</v>
      </c>
      <c r="D49" s="17" t="s">
        <v>36</v>
      </c>
      <c r="E49" s="23" t="s">
        <v>43</v>
      </c>
      <c r="F49" s="23" t="s">
        <v>27</v>
      </c>
      <c r="G49" s="17" t="s">
        <v>38</v>
      </c>
      <c r="H49" s="23" t="s">
        <v>100</v>
      </c>
      <c r="I49" s="23" t="s">
        <v>22</v>
      </c>
      <c r="J49" s="24">
        <v>2</v>
      </c>
      <c r="K49" s="25">
        <v>26000</v>
      </c>
      <c r="L49" s="26">
        <v>0.05</v>
      </c>
      <c r="M49" s="19">
        <f t="shared" si="0"/>
        <v>49400</v>
      </c>
      <c r="N49" s="25">
        <v>49400</v>
      </c>
      <c r="O49" s="4">
        <v>15000</v>
      </c>
      <c r="P49" s="27" t="s">
        <v>23</v>
      </c>
      <c r="Q49" s="17" t="s">
        <v>40</v>
      </c>
      <c r="R49" t="str">
        <f t="shared" si="1"/>
        <v>OK</v>
      </c>
      <c r="S49" s="2">
        <f t="shared" si="2"/>
        <v>1</v>
      </c>
      <c r="T49" s="35">
        <f t="shared" si="3"/>
        <v>19400</v>
      </c>
    </row>
    <row r="50" spans="1:20" x14ac:dyDescent="0.25">
      <c r="A50" s="14">
        <v>100049</v>
      </c>
      <c r="B50" s="15">
        <v>46182</v>
      </c>
      <c r="C50" s="16" t="s">
        <v>50</v>
      </c>
      <c r="D50" s="17" t="s">
        <v>51</v>
      </c>
      <c r="E50" s="16" t="s">
        <v>43</v>
      </c>
      <c r="F50" s="16" t="s">
        <v>44</v>
      </c>
      <c r="G50" s="17" t="s">
        <v>241</v>
      </c>
      <c r="H50" s="16" t="s">
        <v>85</v>
      </c>
      <c r="I50" s="16" t="s">
        <v>22</v>
      </c>
      <c r="J50" s="18">
        <v>5</v>
      </c>
      <c r="K50" s="19">
        <v>6500</v>
      </c>
      <c r="L50" s="20">
        <v>0.05</v>
      </c>
      <c r="M50" s="19">
        <f t="shared" si="0"/>
        <v>30875</v>
      </c>
      <c r="N50" s="19">
        <v>30875</v>
      </c>
      <c r="O50" s="4">
        <v>2200</v>
      </c>
      <c r="P50" s="17" t="s">
        <v>23</v>
      </c>
      <c r="Q50" s="17" t="s">
        <v>84</v>
      </c>
      <c r="R50" t="str">
        <f t="shared" si="1"/>
        <v>OK</v>
      </c>
      <c r="S50" s="2">
        <f t="shared" si="2"/>
        <v>1</v>
      </c>
      <c r="T50" s="35">
        <f t="shared" si="3"/>
        <v>19875</v>
      </c>
    </row>
    <row r="51" spans="1:20" x14ac:dyDescent="0.25">
      <c r="A51" s="21">
        <v>100050</v>
      </c>
      <c r="B51" s="22">
        <v>46056</v>
      </c>
      <c r="C51" s="23" t="s">
        <v>35</v>
      </c>
      <c r="D51" s="17" t="s">
        <v>36</v>
      </c>
      <c r="E51" s="23" t="s">
        <v>43</v>
      </c>
      <c r="F51" s="23" t="s">
        <v>44</v>
      </c>
      <c r="G51" s="17" t="s">
        <v>60</v>
      </c>
      <c r="H51" s="23" t="s">
        <v>101</v>
      </c>
      <c r="I51" s="23" t="s">
        <v>30</v>
      </c>
      <c r="J51" s="24">
        <v>3</v>
      </c>
      <c r="K51" s="25">
        <v>9000</v>
      </c>
      <c r="L51" s="26">
        <v>0</v>
      </c>
      <c r="M51" s="19">
        <f t="shared" si="0"/>
        <v>27000</v>
      </c>
      <c r="N51" s="25">
        <v>27000</v>
      </c>
      <c r="O51" s="4">
        <v>3500</v>
      </c>
      <c r="P51" s="27" t="s">
        <v>23</v>
      </c>
      <c r="Q51" s="17" t="s">
        <v>24</v>
      </c>
      <c r="R51" t="str">
        <f t="shared" si="1"/>
        <v>OK</v>
      </c>
      <c r="S51" s="2">
        <f t="shared" si="2"/>
        <v>1</v>
      </c>
      <c r="T51" s="35">
        <f t="shared" si="3"/>
        <v>16500</v>
      </c>
    </row>
    <row r="52" spans="1:20" x14ac:dyDescent="0.25">
      <c r="A52" s="14">
        <v>100051</v>
      </c>
      <c r="B52" s="15">
        <v>46035</v>
      </c>
      <c r="C52" s="16" t="s">
        <v>16</v>
      </c>
      <c r="D52" s="17" t="s">
        <v>17</v>
      </c>
      <c r="E52" s="16" t="s">
        <v>37</v>
      </c>
      <c r="F52" s="16" t="s">
        <v>19</v>
      </c>
      <c r="G52" s="17" t="s">
        <v>52</v>
      </c>
      <c r="H52" s="16" t="s">
        <v>53</v>
      </c>
      <c r="I52" s="16" t="s">
        <v>22</v>
      </c>
      <c r="J52" s="18">
        <v>2</v>
      </c>
      <c r="K52" s="19">
        <v>42000</v>
      </c>
      <c r="L52" s="20">
        <v>0.1</v>
      </c>
      <c r="M52" s="19">
        <f t="shared" si="0"/>
        <v>75600</v>
      </c>
      <c r="N52" s="19">
        <v>75600</v>
      </c>
      <c r="O52" s="4">
        <v>28000</v>
      </c>
      <c r="P52" s="17" t="s">
        <v>23</v>
      </c>
      <c r="Q52" s="17" t="s">
        <v>24</v>
      </c>
      <c r="R52" t="str">
        <f t="shared" si="1"/>
        <v>OK</v>
      </c>
      <c r="S52" s="2">
        <f t="shared" si="2"/>
        <v>1</v>
      </c>
      <c r="T52" s="35">
        <f t="shared" si="3"/>
        <v>19600</v>
      </c>
    </row>
    <row r="53" spans="1:20" x14ac:dyDescent="0.25">
      <c r="A53" s="21">
        <v>100052</v>
      </c>
      <c r="B53" s="22">
        <v>46033</v>
      </c>
      <c r="C53" s="23" t="s">
        <v>55</v>
      </c>
      <c r="D53" s="17" t="s">
        <v>56</v>
      </c>
      <c r="E53" s="23" t="s">
        <v>18</v>
      </c>
      <c r="F53" s="23" t="s">
        <v>27</v>
      </c>
      <c r="G53" s="17" t="s">
        <v>28</v>
      </c>
      <c r="H53" s="23" t="s">
        <v>102</v>
      </c>
      <c r="I53" s="23" t="s">
        <v>30</v>
      </c>
      <c r="J53" s="24">
        <v>4</v>
      </c>
      <c r="K53" s="25">
        <v>165000</v>
      </c>
      <c r="L53" s="26">
        <v>0</v>
      </c>
      <c r="M53" s="19">
        <f t="shared" si="0"/>
        <v>660000</v>
      </c>
      <c r="N53" s="25">
        <v>660000</v>
      </c>
      <c r="O53" s="4">
        <v>112000</v>
      </c>
      <c r="P53" s="27" t="s">
        <v>23</v>
      </c>
      <c r="Q53" s="17" t="s">
        <v>24</v>
      </c>
      <c r="R53" t="str">
        <f t="shared" si="1"/>
        <v>OK</v>
      </c>
      <c r="S53" s="2">
        <f t="shared" si="2"/>
        <v>1</v>
      </c>
      <c r="T53" s="35">
        <f t="shared" si="3"/>
        <v>212000</v>
      </c>
    </row>
    <row r="54" spans="1:20" x14ac:dyDescent="0.25">
      <c r="A54" s="14">
        <v>100053</v>
      </c>
      <c r="B54" s="15">
        <v>46180</v>
      </c>
      <c r="C54" s="16" t="s">
        <v>35</v>
      </c>
      <c r="D54" s="17" t="s">
        <v>36</v>
      </c>
      <c r="E54" s="16" t="s">
        <v>43</v>
      </c>
      <c r="F54" s="16" t="s">
        <v>44</v>
      </c>
      <c r="G54" s="17" t="s">
        <v>241</v>
      </c>
      <c r="H54" s="16" t="s">
        <v>103</v>
      </c>
      <c r="I54" s="16" t="s">
        <v>30</v>
      </c>
      <c r="J54" s="18">
        <v>4</v>
      </c>
      <c r="K54" s="19">
        <v>6500</v>
      </c>
      <c r="L54" s="20">
        <v>0</v>
      </c>
      <c r="M54" s="19">
        <f t="shared" si="0"/>
        <v>26000</v>
      </c>
      <c r="N54" s="19">
        <v>26000</v>
      </c>
      <c r="O54" s="4">
        <v>2200</v>
      </c>
      <c r="P54" s="17" t="s">
        <v>23</v>
      </c>
      <c r="Q54" s="17" t="s">
        <v>64</v>
      </c>
      <c r="R54" t="str">
        <f t="shared" si="1"/>
        <v>OK</v>
      </c>
      <c r="S54" s="2">
        <f t="shared" si="2"/>
        <v>1</v>
      </c>
      <c r="T54" s="35">
        <f t="shared" si="3"/>
        <v>17200</v>
      </c>
    </row>
    <row r="55" spans="1:20" x14ac:dyDescent="0.25">
      <c r="A55" s="21">
        <v>100054</v>
      </c>
      <c r="B55" s="22">
        <v>46140</v>
      </c>
      <c r="C55" s="23" t="s">
        <v>32</v>
      </c>
      <c r="D55" s="17" t="s">
        <v>17</v>
      </c>
      <c r="E55" s="23" t="s">
        <v>43</v>
      </c>
      <c r="F55" s="23" t="s">
        <v>44</v>
      </c>
      <c r="G55" s="17" t="s">
        <v>60</v>
      </c>
      <c r="H55" s="23" t="s">
        <v>104</v>
      </c>
      <c r="I55" s="23" t="s">
        <v>30</v>
      </c>
      <c r="J55" s="24">
        <v>1</v>
      </c>
      <c r="K55" s="25">
        <v>9000</v>
      </c>
      <c r="L55" s="26">
        <v>0.1</v>
      </c>
      <c r="M55" s="19">
        <f t="shared" si="0"/>
        <v>8100</v>
      </c>
      <c r="N55" s="25">
        <v>8100</v>
      </c>
      <c r="O55" s="4">
        <v>3500</v>
      </c>
      <c r="P55" s="27" t="s">
        <v>23</v>
      </c>
      <c r="Q55" s="17" t="s">
        <v>84</v>
      </c>
      <c r="R55" t="str">
        <f t="shared" si="1"/>
        <v>OK</v>
      </c>
      <c r="S55" s="2">
        <f t="shared" si="2"/>
        <v>1</v>
      </c>
      <c r="T55" s="35">
        <f t="shared" si="3"/>
        <v>4600</v>
      </c>
    </row>
    <row r="56" spans="1:20" x14ac:dyDescent="0.25">
      <c r="A56" s="14">
        <v>100055</v>
      </c>
      <c r="B56" s="15">
        <v>46178</v>
      </c>
      <c r="C56" s="16" t="s">
        <v>35</v>
      </c>
      <c r="D56" s="17" t="s">
        <v>36</v>
      </c>
      <c r="E56" s="16" t="s">
        <v>43</v>
      </c>
      <c r="F56" s="16" t="s">
        <v>27</v>
      </c>
      <c r="G56" s="17" t="s">
        <v>38</v>
      </c>
      <c r="H56" s="16" t="s">
        <v>105</v>
      </c>
      <c r="I56" s="16" t="s">
        <v>22</v>
      </c>
      <c r="J56" s="18">
        <v>2</v>
      </c>
      <c r="K56" s="19">
        <v>26000</v>
      </c>
      <c r="L56" s="20">
        <v>0.15</v>
      </c>
      <c r="M56" s="19">
        <f t="shared" si="0"/>
        <v>44200</v>
      </c>
      <c r="N56" s="19">
        <v>44200</v>
      </c>
      <c r="O56" s="4">
        <v>15000</v>
      </c>
      <c r="P56" s="17" t="s">
        <v>23</v>
      </c>
      <c r="Q56" s="17" t="s">
        <v>47</v>
      </c>
      <c r="R56" t="str">
        <f t="shared" si="1"/>
        <v>OK</v>
      </c>
      <c r="S56" s="2">
        <f t="shared" si="2"/>
        <v>1</v>
      </c>
      <c r="T56" s="35">
        <f t="shared" si="3"/>
        <v>14200</v>
      </c>
    </row>
    <row r="57" spans="1:20" x14ac:dyDescent="0.25">
      <c r="A57" s="21">
        <v>100056</v>
      </c>
      <c r="B57" s="22">
        <v>46191</v>
      </c>
      <c r="C57" s="23" t="s">
        <v>35</v>
      </c>
      <c r="D57" s="17" t="s">
        <v>36</v>
      </c>
      <c r="E57" s="23" t="s">
        <v>43</v>
      </c>
      <c r="F57" s="23" t="s">
        <v>44</v>
      </c>
      <c r="G57" s="17" t="s">
        <v>60</v>
      </c>
      <c r="H57" s="23" t="s">
        <v>106</v>
      </c>
      <c r="I57" s="23" t="s">
        <v>22</v>
      </c>
      <c r="J57" s="24">
        <v>1</v>
      </c>
      <c r="K57" s="25">
        <v>9000</v>
      </c>
      <c r="L57" s="26">
        <v>0.05</v>
      </c>
      <c r="M57" s="19">
        <f t="shared" si="0"/>
        <v>8550</v>
      </c>
      <c r="N57" s="25">
        <v>6840</v>
      </c>
      <c r="O57" s="4">
        <v>3500</v>
      </c>
      <c r="P57" s="27" t="s">
        <v>23</v>
      </c>
      <c r="Q57" s="17" t="s">
        <v>47</v>
      </c>
      <c r="R57" t="str">
        <f t="shared" si="1"/>
        <v>REVENUE MISMATCH</v>
      </c>
      <c r="S57" s="2">
        <f t="shared" si="2"/>
        <v>0.8</v>
      </c>
      <c r="T57" s="35">
        <f t="shared" si="3"/>
        <v>5050</v>
      </c>
    </row>
    <row r="58" spans="1:20" x14ac:dyDescent="0.25">
      <c r="A58" s="14">
        <v>100057</v>
      </c>
      <c r="B58" s="15">
        <v>46196</v>
      </c>
      <c r="C58" s="16" t="s">
        <v>50</v>
      </c>
      <c r="D58" s="17" t="s">
        <v>51</v>
      </c>
      <c r="E58" s="16" t="s">
        <v>37</v>
      </c>
      <c r="F58" s="16" t="s">
        <v>27</v>
      </c>
      <c r="G58" s="17" t="s">
        <v>38</v>
      </c>
      <c r="H58" s="16" t="s">
        <v>107</v>
      </c>
      <c r="I58" s="16" t="s">
        <v>22</v>
      </c>
      <c r="J58" s="18">
        <v>1</v>
      </c>
      <c r="K58" s="19">
        <v>26000</v>
      </c>
      <c r="L58" s="20">
        <v>0.15</v>
      </c>
      <c r="M58" s="19">
        <f t="shared" si="0"/>
        <v>22100</v>
      </c>
      <c r="N58" s="19">
        <v>22100</v>
      </c>
      <c r="O58" s="4">
        <v>15000</v>
      </c>
      <c r="P58" s="17" t="s">
        <v>23</v>
      </c>
      <c r="Q58" s="17" t="s">
        <v>54</v>
      </c>
      <c r="R58" t="str">
        <f t="shared" si="1"/>
        <v>OK</v>
      </c>
      <c r="S58" s="2">
        <f t="shared" si="2"/>
        <v>1</v>
      </c>
      <c r="T58" s="35">
        <f t="shared" si="3"/>
        <v>7100</v>
      </c>
    </row>
    <row r="59" spans="1:20" x14ac:dyDescent="0.25">
      <c r="A59" s="21">
        <v>100058</v>
      </c>
      <c r="B59" s="22">
        <v>46140</v>
      </c>
      <c r="C59" s="23" t="s">
        <v>35</v>
      </c>
      <c r="D59" s="17" t="s">
        <v>36</v>
      </c>
      <c r="E59" s="23" t="s">
        <v>43</v>
      </c>
      <c r="F59" s="23" t="s">
        <v>44</v>
      </c>
      <c r="G59" s="17" t="s">
        <v>65</v>
      </c>
      <c r="H59" s="23" t="s">
        <v>108</v>
      </c>
      <c r="I59" s="23" t="s">
        <v>30</v>
      </c>
      <c r="J59" s="24">
        <v>2</v>
      </c>
      <c r="K59" s="25">
        <v>28000</v>
      </c>
      <c r="L59" s="26">
        <v>0</v>
      </c>
      <c r="M59" s="19">
        <f t="shared" si="0"/>
        <v>56000</v>
      </c>
      <c r="N59" s="25">
        <v>56000</v>
      </c>
      <c r="O59" s="4">
        <v>16000</v>
      </c>
      <c r="P59" s="27" t="s">
        <v>23</v>
      </c>
      <c r="Q59" s="17" t="s">
        <v>84</v>
      </c>
      <c r="R59" t="str">
        <f t="shared" si="1"/>
        <v>OK</v>
      </c>
      <c r="S59" s="2">
        <f t="shared" si="2"/>
        <v>1</v>
      </c>
      <c r="T59" s="35">
        <f t="shared" si="3"/>
        <v>24000</v>
      </c>
    </row>
    <row r="60" spans="1:20" x14ac:dyDescent="0.25">
      <c r="A60" s="14">
        <v>100059</v>
      </c>
      <c r="B60" s="15">
        <v>46039</v>
      </c>
      <c r="C60" s="16" t="s">
        <v>42</v>
      </c>
      <c r="D60" s="17" t="s">
        <v>26</v>
      </c>
      <c r="E60" s="16" t="s">
        <v>37</v>
      </c>
      <c r="F60" s="16" t="s">
        <v>19</v>
      </c>
      <c r="G60" s="17" t="s">
        <v>52</v>
      </c>
      <c r="H60" s="16" t="s">
        <v>109</v>
      </c>
      <c r="I60" s="16" t="s">
        <v>30</v>
      </c>
      <c r="J60" s="18">
        <v>2</v>
      </c>
      <c r="K60" s="19">
        <v>42000</v>
      </c>
      <c r="L60" s="20">
        <v>0.1</v>
      </c>
      <c r="M60" s="19">
        <f t="shared" si="0"/>
        <v>75600</v>
      </c>
      <c r="N60" s="19">
        <v>75600</v>
      </c>
      <c r="O60" s="4">
        <v>28000</v>
      </c>
      <c r="P60" s="17" t="s">
        <v>23</v>
      </c>
      <c r="Q60" s="17" t="s">
        <v>84</v>
      </c>
      <c r="R60" t="str">
        <f t="shared" si="1"/>
        <v>OK</v>
      </c>
      <c r="S60" s="2">
        <f t="shared" si="2"/>
        <v>1</v>
      </c>
      <c r="T60" s="35">
        <f t="shared" si="3"/>
        <v>19600</v>
      </c>
    </row>
    <row r="61" spans="1:20" x14ac:dyDescent="0.25">
      <c r="A61" s="21">
        <v>100060</v>
      </c>
      <c r="B61" s="22">
        <v>46046</v>
      </c>
      <c r="C61" s="23" t="s">
        <v>50</v>
      </c>
      <c r="D61" s="17" t="s">
        <v>51</v>
      </c>
      <c r="E61" s="23" t="s">
        <v>37</v>
      </c>
      <c r="F61" s="23" t="s">
        <v>27</v>
      </c>
      <c r="G61" s="17" t="s">
        <v>33</v>
      </c>
      <c r="H61" s="23" t="s">
        <v>110</v>
      </c>
      <c r="I61" s="23" t="s">
        <v>30</v>
      </c>
      <c r="J61" s="24">
        <v>1</v>
      </c>
      <c r="K61" s="25">
        <v>32000</v>
      </c>
      <c r="L61" s="26">
        <v>0.1</v>
      </c>
      <c r="M61" s="19">
        <f t="shared" si="0"/>
        <v>28800</v>
      </c>
      <c r="N61" s="25">
        <v>28800</v>
      </c>
      <c r="O61" s="4">
        <v>19000</v>
      </c>
      <c r="P61" s="27" t="s">
        <v>23</v>
      </c>
      <c r="Q61" s="17" t="s">
        <v>47</v>
      </c>
      <c r="R61" t="str">
        <f t="shared" si="1"/>
        <v>OK</v>
      </c>
      <c r="S61" s="2">
        <f t="shared" si="2"/>
        <v>1</v>
      </c>
      <c r="T61" s="35">
        <f t="shared" si="3"/>
        <v>9800</v>
      </c>
    </row>
    <row r="62" spans="1:20" x14ac:dyDescent="0.25">
      <c r="A62" s="14">
        <v>100061</v>
      </c>
      <c r="B62" s="15">
        <v>46251</v>
      </c>
      <c r="C62" s="16" t="s">
        <v>42</v>
      </c>
      <c r="D62" s="17" t="s">
        <v>26</v>
      </c>
      <c r="E62" s="16" t="s">
        <v>43</v>
      </c>
      <c r="F62" s="16" t="s">
        <v>27</v>
      </c>
      <c r="G62" s="17" t="s">
        <v>33</v>
      </c>
      <c r="H62" s="16" t="s">
        <v>111</v>
      </c>
      <c r="I62" s="16" t="s">
        <v>30</v>
      </c>
      <c r="J62" s="18">
        <v>1</v>
      </c>
      <c r="K62" s="19">
        <v>32000</v>
      </c>
      <c r="L62" s="20">
        <v>0.15</v>
      </c>
      <c r="M62" s="19">
        <f t="shared" si="0"/>
        <v>27200</v>
      </c>
      <c r="N62" s="19">
        <v>27200</v>
      </c>
      <c r="O62" s="4">
        <v>19000</v>
      </c>
      <c r="P62" s="17" t="s">
        <v>23</v>
      </c>
      <c r="Q62" s="17" t="s">
        <v>84</v>
      </c>
      <c r="R62" t="str">
        <f t="shared" si="1"/>
        <v>OK</v>
      </c>
      <c r="S62" s="2">
        <f t="shared" si="2"/>
        <v>1</v>
      </c>
      <c r="T62" s="35">
        <f t="shared" si="3"/>
        <v>8200</v>
      </c>
    </row>
    <row r="63" spans="1:20" x14ac:dyDescent="0.25">
      <c r="A63" s="21">
        <v>100062</v>
      </c>
      <c r="B63" s="22">
        <v>46161</v>
      </c>
      <c r="C63" s="23" t="s">
        <v>55</v>
      </c>
      <c r="D63" s="17" t="s">
        <v>56</v>
      </c>
      <c r="E63" s="23" t="s">
        <v>37</v>
      </c>
      <c r="F63" s="23" t="s">
        <v>27</v>
      </c>
      <c r="G63" s="17" t="s">
        <v>28</v>
      </c>
      <c r="H63" s="23" t="s">
        <v>112</v>
      </c>
      <c r="I63" s="23" t="s">
        <v>22</v>
      </c>
      <c r="J63" s="24">
        <v>3</v>
      </c>
      <c r="K63" s="25">
        <v>165000</v>
      </c>
      <c r="L63" s="26">
        <v>0</v>
      </c>
      <c r="M63" s="19">
        <f t="shared" si="0"/>
        <v>495000</v>
      </c>
      <c r="N63" s="25">
        <v>495000</v>
      </c>
      <c r="O63" s="4">
        <v>112000</v>
      </c>
      <c r="P63" s="27" t="s">
        <v>23</v>
      </c>
      <c r="Q63" s="17" t="s">
        <v>84</v>
      </c>
      <c r="R63" t="str">
        <f t="shared" si="1"/>
        <v>OK</v>
      </c>
      <c r="S63" s="2">
        <f t="shared" si="2"/>
        <v>1</v>
      </c>
      <c r="T63" s="35">
        <f t="shared" si="3"/>
        <v>159000</v>
      </c>
    </row>
    <row r="64" spans="1:20" x14ac:dyDescent="0.25">
      <c r="A64" s="14">
        <v>100063</v>
      </c>
      <c r="B64" s="15">
        <v>46114</v>
      </c>
      <c r="C64" s="16" t="s">
        <v>42</v>
      </c>
      <c r="D64" s="17" t="s">
        <v>26</v>
      </c>
      <c r="E64" s="16" t="s">
        <v>43</v>
      </c>
      <c r="F64" s="16" t="s">
        <v>19</v>
      </c>
      <c r="G64" s="17" t="s">
        <v>20</v>
      </c>
      <c r="H64" s="16" t="s">
        <v>77</v>
      </c>
      <c r="I64" s="16" t="s">
        <v>22</v>
      </c>
      <c r="J64" s="18">
        <v>1</v>
      </c>
      <c r="K64" s="19">
        <v>58000</v>
      </c>
      <c r="L64" s="20">
        <v>0</v>
      </c>
      <c r="M64" s="19">
        <f t="shared" si="0"/>
        <v>58000</v>
      </c>
      <c r="N64" s="19">
        <v>58000</v>
      </c>
      <c r="O64" s="4">
        <v>39000</v>
      </c>
      <c r="P64" s="17" t="s">
        <v>23</v>
      </c>
      <c r="Q64" s="17" t="s">
        <v>54</v>
      </c>
      <c r="R64" t="str">
        <f t="shared" si="1"/>
        <v>OK</v>
      </c>
      <c r="S64" s="2">
        <f t="shared" si="2"/>
        <v>1</v>
      </c>
      <c r="T64" s="35">
        <f t="shared" si="3"/>
        <v>19000</v>
      </c>
    </row>
    <row r="65" spans="1:20" x14ac:dyDescent="0.25">
      <c r="A65" s="21">
        <v>100064</v>
      </c>
      <c r="B65" s="22">
        <v>46224</v>
      </c>
      <c r="C65" s="23" t="s">
        <v>25</v>
      </c>
      <c r="D65" s="17" t="s">
        <v>26</v>
      </c>
      <c r="E65" s="23" t="s">
        <v>18</v>
      </c>
      <c r="F65" s="23" t="s">
        <v>19</v>
      </c>
      <c r="G65" s="17" t="s">
        <v>62</v>
      </c>
      <c r="H65" s="23" t="s">
        <v>99</v>
      </c>
      <c r="I65" s="23" t="s">
        <v>22</v>
      </c>
      <c r="J65" s="24">
        <v>1</v>
      </c>
      <c r="K65" s="25">
        <v>24000</v>
      </c>
      <c r="L65" s="26">
        <v>0.05</v>
      </c>
      <c r="M65" s="19">
        <f t="shared" si="0"/>
        <v>22800</v>
      </c>
      <c r="N65" s="25">
        <v>22800</v>
      </c>
      <c r="O65" s="4">
        <v>15000</v>
      </c>
      <c r="P65" s="27" t="s">
        <v>23</v>
      </c>
      <c r="Q65" s="17" t="s">
        <v>31</v>
      </c>
      <c r="R65" t="str">
        <f t="shared" si="1"/>
        <v>OK</v>
      </c>
      <c r="S65" s="2">
        <f t="shared" si="2"/>
        <v>1</v>
      </c>
      <c r="T65" s="35">
        <f t="shared" si="3"/>
        <v>7800</v>
      </c>
    </row>
    <row r="66" spans="1:20" x14ac:dyDescent="0.25">
      <c r="A66" s="14">
        <v>100065</v>
      </c>
      <c r="B66" s="15">
        <v>46172</v>
      </c>
      <c r="C66" s="16" t="s">
        <v>55</v>
      </c>
      <c r="D66" s="17" t="s">
        <v>56</v>
      </c>
      <c r="E66" s="16" t="s">
        <v>43</v>
      </c>
      <c r="F66" s="16" t="s">
        <v>27</v>
      </c>
      <c r="G66" s="17" t="s">
        <v>28</v>
      </c>
      <c r="H66" s="16" t="s">
        <v>113</v>
      </c>
      <c r="I66" s="16" t="s">
        <v>30</v>
      </c>
      <c r="J66" s="18">
        <v>4</v>
      </c>
      <c r="K66" s="19">
        <v>165000</v>
      </c>
      <c r="L66" s="20">
        <v>0.1</v>
      </c>
      <c r="M66" s="19">
        <f t="shared" ref="M66:M129" si="4">J66*K66*(1-L66)</f>
        <v>594000</v>
      </c>
      <c r="N66" s="19">
        <v>594000</v>
      </c>
      <c r="O66" s="4">
        <v>112000</v>
      </c>
      <c r="P66" s="17" t="s">
        <v>23</v>
      </c>
      <c r="Q66" s="17" t="s">
        <v>58</v>
      </c>
      <c r="R66" t="str">
        <f t="shared" ref="R66:R129" si="5">IF(ABS(N66-M66)&gt;1,"REVENUE MISMATCH","OK")</f>
        <v>OK</v>
      </c>
      <c r="S66" s="2">
        <f t="shared" ref="S66:S129" si="6">N66/M66</f>
        <v>1</v>
      </c>
      <c r="T66" s="35">
        <f t="shared" si="3"/>
        <v>146000</v>
      </c>
    </row>
    <row r="67" spans="1:20" x14ac:dyDescent="0.25">
      <c r="A67" s="21">
        <v>100066</v>
      </c>
      <c r="B67" s="22">
        <v>46107</v>
      </c>
      <c r="C67" s="23" t="s">
        <v>50</v>
      </c>
      <c r="D67" s="17" t="s">
        <v>51</v>
      </c>
      <c r="E67" s="23" t="s">
        <v>37</v>
      </c>
      <c r="F67" s="23" t="s">
        <v>19</v>
      </c>
      <c r="G67" s="17" t="s">
        <v>52</v>
      </c>
      <c r="H67" s="23" t="s">
        <v>114</v>
      </c>
      <c r="I67" s="23" t="s">
        <v>30</v>
      </c>
      <c r="J67" s="24">
        <v>3</v>
      </c>
      <c r="K67" s="25">
        <v>42000</v>
      </c>
      <c r="L67" s="26">
        <v>0.1</v>
      </c>
      <c r="M67" s="19">
        <f t="shared" si="4"/>
        <v>113400</v>
      </c>
      <c r="N67" s="25">
        <v>113400</v>
      </c>
      <c r="O67" s="4">
        <v>28000</v>
      </c>
      <c r="P67" s="27" t="s">
        <v>23</v>
      </c>
      <c r="Q67" s="17" t="s">
        <v>31</v>
      </c>
      <c r="R67" t="str">
        <f t="shared" si="5"/>
        <v>OK</v>
      </c>
      <c r="S67" s="2">
        <f t="shared" si="6"/>
        <v>1</v>
      </c>
      <c r="T67" s="35">
        <f t="shared" ref="T67:T130" si="7">M67-(O67*J67)</f>
        <v>29400</v>
      </c>
    </row>
    <row r="68" spans="1:20" x14ac:dyDescent="0.25">
      <c r="A68" s="14">
        <v>100067</v>
      </c>
      <c r="B68" s="15">
        <v>46210</v>
      </c>
      <c r="C68" s="16" t="s">
        <v>16</v>
      </c>
      <c r="D68" s="17" t="s">
        <v>17</v>
      </c>
      <c r="E68" s="16" t="s">
        <v>18</v>
      </c>
      <c r="F68" s="16" t="s">
        <v>44</v>
      </c>
      <c r="G68" s="17" t="s">
        <v>65</v>
      </c>
      <c r="H68" s="16" t="s">
        <v>115</v>
      </c>
      <c r="I68" s="16" t="s">
        <v>22</v>
      </c>
      <c r="J68" s="18">
        <v>3</v>
      </c>
      <c r="K68" s="19">
        <v>28000</v>
      </c>
      <c r="L68" s="20">
        <v>0.15</v>
      </c>
      <c r="M68" s="19">
        <f t="shared" si="4"/>
        <v>71400</v>
      </c>
      <c r="N68" s="19">
        <v>57120</v>
      </c>
      <c r="O68" s="4">
        <v>16000</v>
      </c>
      <c r="P68" s="17" t="s">
        <v>23</v>
      </c>
      <c r="Q68" s="17" t="s">
        <v>58</v>
      </c>
      <c r="R68" t="str">
        <f t="shared" si="5"/>
        <v>REVENUE MISMATCH</v>
      </c>
      <c r="S68" s="2">
        <f t="shared" si="6"/>
        <v>0.8</v>
      </c>
      <c r="T68" s="35">
        <f t="shared" si="7"/>
        <v>23400</v>
      </c>
    </row>
    <row r="69" spans="1:20" x14ac:dyDescent="0.25">
      <c r="A69" s="21">
        <v>100068</v>
      </c>
      <c r="B69" s="22">
        <v>46111</v>
      </c>
      <c r="C69" s="23" t="s">
        <v>16</v>
      </c>
      <c r="D69" s="17" t="s">
        <v>17</v>
      </c>
      <c r="E69" s="23" t="s">
        <v>37</v>
      </c>
      <c r="F69" s="23" t="s">
        <v>44</v>
      </c>
      <c r="G69" s="17" t="s">
        <v>65</v>
      </c>
      <c r="H69" s="23" t="s">
        <v>116</v>
      </c>
      <c r="I69" s="23" t="s">
        <v>22</v>
      </c>
      <c r="J69" s="24">
        <v>4</v>
      </c>
      <c r="K69" s="25">
        <v>28000</v>
      </c>
      <c r="L69" s="26">
        <v>0.05</v>
      </c>
      <c r="M69" s="19">
        <f t="shared" si="4"/>
        <v>106400</v>
      </c>
      <c r="N69" s="25">
        <v>106400</v>
      </c>
      <c r="O69" s="4">
        <v>16000</v>
      </c>
      <c r="P69" s="27" t="s">
        <v>23</v>
      </c>
      <c r="Q69" s="17" t="s">
        <v>58</v>
      </c>
      <c r="R69" t="str">
        <f t="shared" si="5"/>
        <v>OK</v>
      </c>
      <c r="S69" s="2">
        <f t="shared" si="6"/>
        <v>1</v>
      </c>
      <c r="T69" s="35">
        <f t="shared" si="7"/>
        <v>42400</v>
      </c>
    </row>
    <row r="70" spans="1:20" x14ac:dyDescent="0.25">
      <c r="A70" s="14">
        <v>100069</v>
      </c>
      <c r="B70" s="15">
        <v>46092</v>
      </c>
      <c r="C70" s="16" t="s">
        <v>55</v>
      </c>
      <c r="D70" s="17" t="s">
        <v>56</v>
      </c>
      <c r="E70" s="16" t="s">
        <v>43</v>
      </c>
      <c r="F70" s="16" t="s">
        <v>27</v>
      </c>
      <c r="G70" s="17" t="s">
        <v>28</v>
      </c>
      <c r="H70" s="16" t="s">
        <v>117</v>
      </c>
      <c r="I70" s="16" t="s">
        <v>22</v>
      </c>
      <c r="J70" s="18">
        <v>3</v>
      </c>
      <c r="K70" s="19">
        <v>165000</v>
      </c>
      <c r="L70" s="20">
        <v>0.05</v>
      </c>
      <c r="M70" s="19">
        <f t="shared" si="4"/>
        <v>470250</v>
      </c>
      <c r="N70" s="19">
        <v>470250</v>
      </c>
      <c r="O70" s="4">
        <v>112000</v>
      </c>
      <c r="P70" s="17" t="s">
        <v>23</v>
      </c>
      <c r="Q70" s="17" t="s">
        <v>47</v>
      </c>
      <c r="R70" t="str">
        <f t="shared" si="5"/>
        <v>OK</v>
      </c>
      <c r="S70" s="2">
        <f t="shared" si="6"/>
        <v>1</v>
      </c>
      <c r="T70" s="35">
        <f t="shared" si="7"/>
        <v>134250</v>
      </c>
    </row>
    <row r="71" spans="1:20" x14ac:dyDescent="0.25">
      <c r="A71" s="21">
        <v>100070</v>
      </c>
      <c r="B71" s="22">
        <v>46147</v>
      </c>
      <c r="C71" s="23" t="s">
        <v>55</v>
      </c>
      <c r="D71" s="17" t="s">
        <v>56</v>
      </c>
      <c r="E71" s="23" t="s">
        <v>43</v>
      </c>
      <c r="F71" s="23" t="s">
        <v>19</v>
      </c>
      <c r="G71" s="17" t="s">
        <v>20</v>
      </c>
      <c r="H71" s="23" t="s">
        <v>118</v>
      </c>
      <c r="I71" s="23" t="s">
        <v>22</v>
      </c>
      <c r="J71" s="24">
        <v>3</v>
      </c>
      <c r="K71" s="25">
        <v>58000</v>
      </c>
      <c r="L71" s="26">
        <v>0</v>
      </c>
      <c r="M71" s="19">
        <f t="shared" si="4"/>
        <v>174000</v>
      </c>
      <c r="N71" s="25">
        <v>174000</v>
      </c>
      <c r="O71" s="4">
        <v>39000</v>
      </c>
      <c r="P71" s="27" t="s">
        <v>23</v>
      </c>
      <c r="Q71" s="17" t="s">
        <v>64</v>
      </c>
      <c r="R71" t="str">
        <f t="shared" si="5"/>
        <v>OK</v>
      </c>
      <c r="S71" s="2">
        <f t="shared" si="6"/>
        <v>1</v>
      </c>
      <c r="T71" s="35">
        <f t="shared" si="7"/>
        <v>57000</v>
      </c>
    </row>
    <row r="72" spans="1:20" x14ac:dyDescent="0.25">
      <c r="A72" s="14">
        <v>100071</v>
      </c>
      <c r="B72" s="15">
        <v>46028</v>
      </c>
      <c r="C72" s="16" t="s">
        <v>42</v>
      </c>
      <c r="D72" s="17" t="s">
        <v>26</v>
      </c>
      <c r="E72" s="16" t="s">
        <v>37</v>
      </c>
      <c r="F72" s="16" t="s">
        <v>27</v>
      </c>
      <c r="G72" s="17" t="s">
        <v>38</v>
      </c>
      <c r="H72" s="16" t="s">
        <v>119</v>
      </c>
      <c r="I72" s="16" t="s">
        <v>30</v>
      </c>
      <c r="J72" s="18">
        <v>4</v>
      </c>
      <c r="K72" s="19">
        <v>26000</v>
      </c>
      <c r="L72" s="20">
        <v>0.1</v>
      </c>
      <c r="M72" s="19">
        <f t="shared" si="4"/>
        <v>93600</v>
      </c>
      <c r="N72" s="19">
        <v>93600</v>
      </c>
      <c r="O72" s="4">
        <v>15000</v>
      </c>
      <c r="P72" s="17" t="s">
        <v>23</v>
      </c>
      <c r="Q72" s="17" t="s">
        <v>24</v>
      </c>
      <c r="R72" t="str">
        <f t="shared" si="5"/>
        <v>OK</v>
      </c>
      <c r="S72" s="2">
        <f t="shared" si="6"/>
        <v>1</v>
      </c>
      <c r="T72" s="35">
        <f t="shared" si="7"/>
        <v>33600</v>
      </c>
    </row>
    <row r="73" spans="1:20" x14ac:dyDescent="0.25">
      <c r="A73" s="21">
        <v>100072</v>
      </c>
      <c r="B73" s="22">
        <v>46182</v>
      </c>
      <c r="C73" s="23" t="s">
        <v>50</v>
      </c>
      <c r="D73" s="17" t="s">
        <v>51</v>
      </c>
      <c r="E73" s="23" t="s">
        <v>43</v>
      </c>
      <c r="F73" s="23" t="s">
        <v>19</v>
      </c>
      <c r="G73" s="17" t="s">
        <v>20</v>
      </c>
      <c r="H73" s="23" t="s">
        <v>120</v>
      </c>
      <c r="I73" s="23" t="s">
        <v>22</v>
      </c>
      <c r="J73" s="24">
        <v>3</v>
      </c>
      <c r="K73" s="25">
        <v>58000</v>
      </c>
      <c r="L73" s="26">
        <v>0.1</v>
      </c>
      <c r="M73" s="19">
        <f t="shared" si="4"/>
        <v>156600</v>
      </c>
      <c r="N73" s="25">
        <v>125280</v>
      </c>
      <c r="O73" s="4">
        <v>39000</v>
      </c>
      <c r="P73" s="27" t="s">
        <v>23</v>
      </c>
      <c r="Q73" s="17" t="s">
        <v>40</v>
      </c>
      <c r="R73" t="str">
        <f t="shared" si="5"/>
        <v>REVENUE MISMATCH</v>
      </c>
      <c r="S73" s="2">
        <f t="shared" si="6"/>
        <v>0.8</v>
      </c>
      <c r="T73" s="35">
        <f t="shared" si="7"/>
        <v>39600</v>
      </c>
    </row>
    <row r="74" spans="1:20" x14ac:dyDescent="0.25">
      <c r="A74" s="14">
        <v>100073</v>
      </c>
      <c r="B74" s="15">
        <v>46086</v>
      </c>
      <c r="C74" s="16" t="s">
        <v>32</v>
      </c>
      <c r="D74" s="17" t="s">
        <v>17</v>
      </c>
      <c r="E74" s="16" t="s">
        <v>37</v>
      </c>
      <c r="F74" s="16" t="s">
        <v>27</v>
      </c>
      <c r="G74" s="17" t="s">
        <v>38</v>
      </c>
      <c r="H74" s="16" t="s">
        <v>121</v>
      </c>
      <c r="I74" s="16" t="s">
        <v>30</v>
      </c>
      <c r="J74" s="18">
        <v>1</v>
      </c>
      <c r="K74" s="19">
        <v>26000</v>
      </c>
      <c r="L74" s="20">
        <v>0.1</v>
      </c>
      <c r="M74" s="19">
        <f t="shared" si="4"/>
        <v>23400</v>
      </c>
      <c r="N74" s="19">
        <v>23400</v>
      </c>
      <c r="O74" s="4">
        <v>15000</v>
      </c>
      <c r="P74" s="17" t="s">
        <v>76</v>
      </c>
      <c r="Q74" s="17" t="s">
        <v>47</v>
      </c>
      <c r="R74" t="str">
        <f t="shared" si="5"/>
        <v>OK</v>
      </c>
      <c r="S74" s="2">
        <f t="shared" si="6"/>
        <v>1</v>
      </c>
      <c r="T74" s="35">
        <f t="shared" si="7"/>
        <v>8400</v>
      </c>
    </row>
    <row r="75" spans="1:20" x14ac:dyDescent="0.25">
      <c r="A75" s="21">
        <v>100074</v>
      </c>
      <c r="B75" s="22">
        <v>46132</v>
      </c>
      <c r="C75" s="23" t="s">
        <v>50</v>
      </c>
      <c r="D75" s="17" t="s">
        <v>51</v>
      </c>
      <c r="E75" s="23" t="s">
        <v>43</v>
      </c>
      <c r="F75" s="23" t="s">
        <v>44</v>
      </c>
      <c r="G75" s="17" t="s">
        <v>241</v>
      </c>
      <c r="H75" s="23" t="s">
        <v>122</v>
      </c>
      <c r="I75" s="23" t="s">
        <v>22</v>
      </c>
      <c r="J75" s="24">
        <v>4</v>
      </c>
      <c r="K75" s="25">
        <v>6500</v>
      </c>
      <c r="L75" s="26">
        <v>0.05</v>
      </c>
      <c r="M75" s="19">
        <f t="shared" si="4"/>
        <v>24700</v>
      </c>
      <c r="N75" s="25">
        <v>24700</v>
      </c>
      <c r="O75" s="4">
        <v>2200</v>
      </c>
      <c r="P75" s="27" t="s">
        <v>23</v>
      </c>
      <c r="Q75" s="17" t="s">
        <v>24</v>
      </c>
      <c r="R75" t="str">
        <f t="shared" si="5"/>
        <v>OK</v>
      </c>
      <c r="S75" s="2">
        <f t="shared" si="6"/>
        <v>1</v>
      </c>
      <c r="T75" s="35">
        <f t="shared" si="7"/>
        <v>15900</v>
      </c>
    </row>
    <row r="76" spans="1:20" x14ac:dyDescent="0.25">
      <c r="A76" s="14">
        <v>100075</v>
      </c>
      <c r="B76" s="15">
        <v>46256</v>
      </c>
      <c r="C76" s="16" t="s">
        <v>25</v>
      </c>
      <c r="D76" s="17" t="s">
        <v>26</v>
      </c>
      <c r="E76" s="16" t="s">
        <v>43</v>
      </c>
      <c r="F76" s="16" t="s">
        <v>27</v>
      </c>
      <c r="G76" s="17" t="s">
        <v>28</v>
      </c>
      <c r="H76" s="16" t="s">
        <v>123</v>
      </c>
      <c r="I76" s="16" t="s">
        <v>30</v>
      </c>
      <c r="J76" s="18">
        <v>1</v>
      </c>
      <c r="K76" s="19">
        <v>165000</v>
      </c>
      <c r="L76" s="20">
        <v>0.05</v>
      </c>
      <c r="M76" s="19">
        <f t="shared" si="4"/>
        <v>156750</v>
      </c>
      <c r="N76" s="19">
        <v>156750</v>
      </c>
      <c r="O76" s="4">
        <v>112000</v>
      </c>
      <c r="P76" s="17" t="s">
        <v>23</v>
      </c>
      <c r="Q76" s="17" t="s">
        <v>54</v>
      </c>
      <c r="R76" t="str">
        <f t="shared" si="5"/>
        <v>OK</v>
      </c>
      <c r="S76" s="2">
        <f t="shared" si="6"/>
        <v>1</v>
      </c>
      <c r="T76" s="35">
        <f t="shared" si="7"/>
        <v>44750</v>
      </c>
    </row>
    <row r="77" spans="1:20" x14ac:dyDescent="0.25">
      <c r="A77" s="21">
        <v>100076</v>
      </c>
      <c r="B77" s="22">
        <v>46064</v>
      </c>
      <c r="C77" s="23" t="s">
        <v>25</v>
      </c>
      <c r="D77" s="17" t="s">
        <v>26</v>
      </c>
      <c r="E77" s="23" t="s">
        <v>43</v>
      </c>
      <c r="F77" s="23" t="s">
        <v>27</v>
      </c>
      <c r="G77" s="17" t="s">
        <v>38</v>
      </c>
      <c r="H77" s="23" t="s">
        <v>124</v>
      </c>
      <c r="I77" s="23" t="s">
        <v>22</v>
      </c>
      <c r="J77" s="24">
        <v>4</v>
      </c>
      <c r="K77" s="25">
        <v>26000</v>
      </c>
      <c r="L77" s="26">
        <v>0</v>
      </c>
      <c r="M77" s="19">
        <f t="shared" si="4"/>
        <v>104000</v>
      </c>
      <c r="N77" s="25">
        <v>104000</v>
      </c>
      <c r="O77" s="4">
        <v>15000</v>
      </c>
      <c r="P77" s="27" t="s">
        <v>23</v>
      </c>
      <c r="Q77" s="17" t="s">
        <v>84</v>
      </c>
      <c r="R77" t="str">
        <f t="shared" si="5"/>
        <v>OK</v>
      </c>
      <c r="S77" s="2">
        <f t="shared" si="6"/>
        <v>1</v>
      </c>
      <c r="T77" s="35">
        <f t="shared" si="7"/>
        <v>44000</v>
      </c>
    </row>
    <row r="78" spans="1:20" x14ac:dyDescent="0.25">
      <c r="A78" s="14">
        <v>100077</v>
      </c>
      <c r="B78" s="15">
        <v>46156</v>
      </c>
      <c r="C78" s="16" t="s">
        <v>42</v>
      </c>
      <c r="D78" s="17" t="s">
        <v>26</v>
      </c>
      <c r="E78" s="16" t="s">
        <v>43</v>
      </c>
      <c r="F78" s="16" t="s">
        <v>44</v>
      </c>
      <c r="G78" s="17" t="s">
        <v>60</v>
      </c>
      <c r="H78" s="16" t="s">
        <v>63</v>
      </c>
      <c r="I78" s="16" t="s">
        <v>22</v>
      </c>
      <c r="J78" s="18">
        <v>2</v>
      </c>
      <c r="K78" s="19">
        <v>9000</v>
      </c>
      <c r="L78" s="20">
        <v>0.15</v>
      </c>
      <c r="M78" s="19">
        <f t="shared" si="4"/>
        <v>15300</v>
      </c>
      <c r="N78" s="19">
        <v>15300</v>
      </c>
      <c r="O78" s="4">
        <v>3500</v>
      </c>
      <c r="P78" s="17" t="s">
        <v>23</v>
      </c>
      <c r="Q78" s="17" t="s">
        <v>24</v>
      </c>
      <c r="R78" t="str">
        <f t="shared" si="5"/>
        <v>OK</v>
      </c>
      <c r="S78" s="2">
        <f t="shared" si="6"/>
        <v>1</v>
      </c>
      <c r="T78" s="35">
        <f t="shared" si="7"/>
        <v>8300</v>
      </c>
    </row>
    <row r="79" spans="1:20" x14ac:dyDescent="0.25">
      <c r="A79" s="21">
        <v>100078</v>
      </c>
      <c r="B79" s="22">
        <v>46209</v>
      </c>
      <c r="C79" s="23" t="s">
        <v>25</v>
      </c>
      <c r="D79" s="17" t="s">
        <v>26</v>
      </c>
      <c r="E79" s="23" t="s">
        <v>43</v>
      </c>
      <c r="F79" s="23" t="s">
        <v>44</v>
      </c>
      <c r="G79" s="17" t="s">
        <v>241</v>
      </c>
      <c r="H79" s="23" t="s">
        <v>125</v>
      </c>
      <c r="I79" s="23" t="s">
        <v>30</v>
      </c>
      <c r="J79" s="24">
        <v>2</v>
      </c>
      <c r="K79" s="25">
        <v>6500</v>
      </c>
      <c r="L79" s="26">
        <v>0.1</v>
      </c>
      <c r="M79" s="19">
        <f t="shared" si="4"/>
        <v>11700</v>
      </c>
      <c r="N79" s="25">
        <v>11700</v>
      </c>
      <c r="O79" s="4">
        <v>2200</v>
      </c>
      <c r="P79" s="27" t="s">
        <v>23</v>
      </c>
      <c r="Q79" s="17" t="s">
        <v>31</v>
      </c>
      <c r="R79" t="str">
        <f t="shared" si="5"/>
        <v>OK</v>
      </c>
      <c r="S79" s="2">
        <f t="shared" si="6"/>
        <v>1</v>
      </c>
      <c r="T79" s="35">
        <f t="shared" si="7"/>
        <v>7300</v>
      </c>
    </row>
    <row r="80" spans="1:20" x14ac:dyDescent="0.25">
      <c r="A80" s="14">
        <v>100079</v>
      </c>
      <c r="B80" s="15">
        <v>46058</v>
      </c>
      <c r="C80" s="16" t="s">
        <v>42</v>
      </c>
      <c r="D80" s="17" t="s">
        <v>26</v>
      </c>
      <c r="E80" s="16" t="s">
        <v>43</v>
      </c>
      <c r="F80" s="16" t="s">
        <v>19</v>
      </c>
      <c r="G80" s="17" t="s">
        <v>20</v>
      </c>
      <c r="H80" s="16" t="s">
        <v>126</v>
      </c>
      <c r="I80" s="16" t="s">
        <v>30</v>
      </c>
      <c r="J80" s="18">
        <v>2</v>
      </c>
      <c r="K80" s="19">
        <v>58000</v>
      </c>
      <c r="L80" s="20">
        <v>0.1</v>
      </c>
      <c r="M80" s="19">
        <f t="shared" si="4"/>
        <v>104400</v>
      </c>
      <c r="N80" s="19">
        <v>104400</v>
      </c>
      <c r="O80" s="4">
        <v>39000</v>
      </c>
      <c r="P80" s="17" t="s">
        <v>23</v>
      </c>
      <c r="Q80" s="17" t="s">
        <v>84</v>
      </c>
      <c r="R80" t="str">
        <f t="shared" si="5"/>
        <v>OK</v>
      </c>
      <c r="S80" s="2">
        <f t="shared" si="6"/>
        <v>1</v>
      </c>
      <c r="T80" s="35">
        <f t="shared" si="7"/>
        <v>26400</v>
      </c>
    </row>
    <row r="81" spans="1:20" x14ac:dyDescent="0.25">
      <c r="A81" s="21">
        <v>100080</v>
      </c>
      <c r="B81" s="22">
        <v>46255</v>
      </c>
      <c r="C81" s="23" t="s">
        <v>50</v>
      </c>
      <c r="D81" s="17" t="s">
        <v>51</v>
      </c>
      <c r="E81" s="23" t="s">
        <v>37</v>
      </c>
      <c r="F81" s="23" t="s">
        <v>44</v>
      </c>
      <c r="G81" s="17" t="s">
        <v>65</v>
      </c>
      <c r="H81" s="23" t="s">
        <v>127</v>
      </c>
      <c r="I81" s="23" t="s">
        <v>30</v>
      </c>
      <c r="J81" s="24">
        <v>2</v>
      </c>
      <c r="K81" s="25">
        <v>28000</v>
      </c>
      <c r="L81" s="26">
        <v>0.1</v>
      </c>
      <c r="M81" s="19">
        <f t="shared" si="4"/>
        <v>50400</v>
      </c>
      <c r="N81" s="25">
        <v>50400</v>
      </c>
      <c r="O81" s="4">
        <v>16000</v>
      </c>
      <c r="P81" s="27" t="s">
        <v>23</v>
      </c>
      <c r="Q81" s="17" t="s">
        <v>31</v>
      </c>
      <c r="R81" t="str">
        <f t="shared" si="5"/>
        <v>OK</v>
      </c>
      <c r="S81" s="2">
        <f t="shared" si="6"/>
        <v>1</v>
      </c>
      <c r="T81" s="35">
        <f t="shared" si="7"/>
        <v>18400</v>
      </c>
    </row>
    <row r="82" spans="1:20" x14ac:dyDescent="0.25">
      <c r="A82" s="14">
        <v>100081</v>
      </c>
      <c r="B82" s="15">
        <v>46151</v>
      </c>
      <c r="C82" s="16" t="s">
        <v>42</v>
      </c>
      <c r="D82" s="17" t="s">
        <v>26</v>
      </c>
      <c r="E82" s="16" t="s">
        <v>37</v>
      </c>
      <c r="F82" s="16" t="s">
        <v>27</v>
      </c>
      <c r="G82" s="17" t="s">
        <v>33</v>
      </c>
      <c r="H82" s="16" t="s">
        <v>128</v>
      </c>
      <c r="I82" s="16" t="s">
        <v>22</v>
      </c>
      <c r="J82" s="18">
        <v>2</v>
      </c>
      <c r="K82" s="19">
        <v>32000</v>
      </c>
      <c r="L82" s="20">
        <v>0</v>
      </c>
      <c r="M82" s="19">
        <f t="shared" si="4"/>
        <v>64000</v>
      </c>
      <c r="N82" s="19">
        <v>64000</v>
      </c>
      <c r="O82" s="4">
        <v>19000</v>
      </c>
      <c r="P82" s="17" t="s">
        <v>23</v>
      </c>
      <c r="Q82" s="17" t="s">
        <v>84</v>
      </c>
      <c r="R82" t="str">
        <f t="shared" si="5"/>
        <v>OK</v>
      </c>
      <c r="S82" s="2">
        <f t="shared" si="6"/>
        <v>1</v>
      </c>
      <c r="T82" s="35">
        <f t="shared" si="7"/>
        <v>26000</v>
      </c>
    </row>
    <row r="83" spans="1:20" x14ac:dyDescent="0.25">
      <c r="A83" s="21">
        <v>100082</v>
      </c>
      <c r="B83" s="22">
        <v>46149</v>
      </c>
      <c r="C83" s="23" t="s">
        <v>32</v>
      </c>
      <c r="D83" s="17" t="s">
        <v>17</v>
      </c>
      <c r="E83" s="23" t="s">
        <v>37</v>
      </c>
      <c r="F83" s="23" t="s">
        <v>27</v>
      </c>
      <c r="G83" s="17" t="s">
        <v>28</v>
      </c>
      <c r="H83" s="23" t="s">
        <v>86</v>
      </c>
      <c r="I83" s="23" t="s">
        <v>22</v>
      </c>
      <c r="J83" s="24">
        <v>2</v>
      </c>
      <c r="K83" s="25">
        <v>165000</v>
      </c>
      <c r="L83" s="26">
        <v>0.1</v>
      </c>
      <c r="M83" s="19">
        <f t="shared" si="4"/>
        <v>297000</v>
      </c>
      <c r="N83" s="25">
        <v>297000</v>
      </c>
      <c r="O83" s="4">
        <v>112000</v>
      </c>
      <c r="P83" s="27" t="s">
        <v>23</v>
      </c>
      <c r="Q83" s="17" t="s">
        <v>54</v>
      </c>
      <c r="R83" t="str">
        <f t="shared" si="5"/>
        <v>OK</v>
      </c>
      <c r="S83" s="2">
        <f t="shared" si="6"/>
        <v>1</v>
      </c>
      <c r="T83" s="35">
        <f t="shared" si="7"/>
        <v>73000</v>
      </c>
    </row>
    <row r="84" spans="1:20" x14ac:dyDescent="0.25">
      <c r="A84" s="14">
        <v>100083</v>
      </c>
      <c r="B84" s="15">
        <v>46079</v>
      </c>
      <c r="C84" s="16" t="s">
        <v>42</v>
      </c>
      <c r="D84" s="17" t="s">
        <v>26</v>
      </c>
      <c r="E84" s="16" t="s">
        <v>43</v>
      </c>
      <c r="F84" s="16" t="s">
        <v>27</v>
      </c>
      <c r="G84" s="17" t="s">
        <v>28</v>
      </c>
      <c r="H84" s="16" t="s">
        <v>129</v>
      </c>
      <c r="I84" s="16" t="s">
        <v>30</v>
      </c>
      <c r="J84" s="18">
        <v>3</v>
      </c>
      <c r="K84" s="19">
        <v>165000</v>
      </c>
      <c r="L84" s="20">
        <v>0.1</v>
      </c>
      <c r="M84" s="19">
        <f t="shared" si="4"/>
        <v>445500</v>
      </c>
      <c r="N84" s="19">
        <v>445500</v>
      </c>
      <c r="O84" s="4">
        <v>112000</v>
      </c>
      <c r="P84" s="17" t="s">
        <v>76</v>
      </c>
      <c r="Q84" s="17" t="s">
        <v>54</v>
      </c>
      <c r="R84" t="str">
        <f t="shared" si="5"/>
        <v>OK</v>
      </c>
      <c r="S84" s="2">
        <f t="shared" si="6"/>
        <v>1</v>
      </c>
      <c r="T84" s="35">
        <f t="shared" si="7"/>
        <v>109500</v>
      </c>
    </row>
    <row r="85" spans="1:20" x14ac:dyDescent="0.25">
      <c r="A85" s="21">
        <v>100084</v>
      </c>
      <c r="B85" s="22">
        <v>46226</v>
      </c>
      <c r="C85" s="23" t="s">
        <v>32</v>
      </c>
      <c r="D85" s="17" t="s">
        <v>17</v>
      </c>
      <c r="E85" s="23" t="s">
        <v>43</v>
      </c>
      <c r="F85" s="23" t="s">
        <v>27</v>
      </c>
      <c r="G85" s="17" t="s">
        <v>38</v>
      </c>
      <c r="H85" s="23" t="s">
        <v>130</v>
      </c>
      <c r="I85" s="23" t="s">
        <v>22</v>
      </c>
      <c r="J85" s="24">
        <v>4</v>
      </c>
      <c r="K85" s="25">
        <v>26000</v>
      </c>
      <c r="L85" s="26">
        <v>0</v>
      </c>
      <c r="M85" s="19">
        <f t="shared" si="4"/>
        <v>104000</v>
      </c>
      <c r="N85" s="25">
        <v>104000</v>
      </c>
      <c r="O85" s="4">
        <v>15000</v>
      </c>
      <c r="P85" s="27" t="s">
        <v>76</v>
      </c>
      <c r="Q85" s="17" t="s">
        <v>31</v>
      </c>
      <c r="R85" t="str">
        <f t="shared" si="5"/>
        <v>OK</v>
      </c>
      <c r="S85" s="2">
        <f t="shared" si="6"/>
        <v>1</v>
      </c>
      <c r="T85" s="35">
        <f t="shared" si="7"/>
        <v>44000</v>
      </c>
    </row>
    <row r="86" spans="1:20" x14ac:dyDescent="0.25">
      <c r="A86" s="14">
        <v>100085</v>
      </c>
      <c r="B86" s="15">
        <v>46227</v>
      </c>
      <c r="C86" s="16" t="s">
        <v>55</v>
      </c>
      <c r="D86" s="17" t="s">
        <v>56</v>
      </c>
      <c r="E86" s="16" t="s">
        <v>18</v>
      </c>
      <c r="F86" s="16" t="s">
        <v>27</v>
      </c>
      <c r="G86" s="17" t="s">
        <v>38</v>
      </c>
      <c r="H86" s="16" t="s">
        <v>131</v>
      </c>
      <c r="I86" s="16" t="s">
        <v>30</v>
      </c>
      <c r="J86" s="18">
        <v>3</v>
      </c>
      <c r="K86" s="19">
        <v>26000</v>
      </c>
      <c r="L86" s="20">
        <v>0</v>
      </c>
      <c r="M86" s="19">
        <f t="shared" si="4"/>
        <v>78000</v>
      </c>
      <c r="N86" s="19">
        <v>78000</v>
      </c>
      <c r="O86" s="4">
        <v>15000</v>
      </c>
      <c r="P86" s="17" t="s">
        <v>23</v>
      </c>
      <c r="Q86" s="17" t="s">
        <v>84</v>
      </c>
      <c r="R86" t="str">
        <f t="shared" si="5"/>
        <v>OK</v>
      </c>
      <c r="S86" s="2">
        <f t="shared" si="6"/>
        <v>1</v>
      </c>
      <c r="T86" s="35">
        <f t="shared" si="7"/>
        <v>33000</v>
      </c>
    </row>
    <row r="87" spans="1:20" x14ac:dyDescent="0.25">
      <c r="A87" s="21">
        <v>100086</v>
      </c>
      <c r="B87" s="22">
        <v>46068</v>
      </c>
      <c r="C87" s="23" t="s">
        <v>35</v>
      </c>
      <c r="D87" s="17" t="s">
        <v>36</v>
      </c>
      <c r="E87" s="23" t="s">
        <v>37</v>
      </c>
      <c r="F87" s="23" t="s">
        <v>27</v>
      </c>
      <c r="G87" s="17" t="s">
        <v>33</v>
      </c>
      <c r="H87" s="23" t="s">
        <v>132</v>
      </c>
      <c r="I87" s="23" t="s">
        <v>30</v>
      </c>
      <c r="J87" s="24">
        <v>4</v>
      </c>
      <c r="K87" s="25">
        <v>32000</v>
      </c>
      <c r="L87" s="26">
        <v>0.1</v>
      </c>
      <c r="M87" s="19">
        <f t="shared" si="4"/>
        <v>115200</v>
      </c>
      <c r="N87" s="25">
        <v>115200</v>
      </c>
      <c r="O87" s="4">
        <v>19000</v>
      </c>
      <c r="P87" s="27" t="s">
        <v>23</v>
      </c>
      <c r="Q87" s="17" t="s">
        <v>54</v>
      </c>
      <c r="R87" t="str">
        <f t="shared" si="5"/>
        <v>OK</v>
      </c>
      <c r="S87" s="2">
        <f t="shared" si="6"/>
        <v>1</v>
      </c>
      <c r="T87" s="35">
        <f t="shared" si="7"/>
        <v>39200</v>
      </c>
    </row>
    <row r="88" spans="1:20" x14ac:dyDescent="0.25">
      <c r="A88" s="14">
        <v>100087</v>
      </c>
      <c r="B88" s="15">
        <v>46032</v>
      </c>
      <c r="C88" s="16" t="s">
        <v>32</v>
      </c>
      <c r="D88" s="17" t="s">
        <v>17</v>
      </c>
      <c r="E88" s="16" t="s">
        <v>18</v>
      </c>
      <c r="F88" s="16" t="s">
        <v>44</v>
      </c>
      <c r="G88" s="17" t="s">
        <v>65</v>
      </c>
      <c r="H88" s="16" t="s">
        <v>133</v>
      </c>
      <c r="I88" s="16" t="s">
        <v>30</v>
      </c>
      <c r="J88" s="18">
        <v>3</v>
      </c>
      <c r="K88" s="19">
        <v>28000</v>
      </c>
      <c r="L88" s="20">
        <v>0.15</v>
      </c>
      <c r="M88" s="19">
        <f t="shared" si="4"/>
        <v>71400</v>
      </c>
      <c r="N88" s="19">
        <v>71400</v>
      </c>
      <c r="O88" s="4">
        <v>16000</v>
      </c>
      <c r="P88" s="17" t="s">
        <v>23</v>
      </c>
      <c r="Q88" s="17" t="s">
        <v>54</v>
      </c>
      <c r="R88" t="str">
        <f t="shared" si="5"/>
        <v>OK</v>
      </c>
      <c r="S88" s="2">
        <f t="shared" si="6"/>
        <v>1</v>
      </c>
      <c r="T88" s="35">
        <f t="shared" si="7"/>
        <v>23400</v>
      </c>
    </row>
    <row r="89" spans="1:20" x14ac:dyDescent="0.25">
      <c r="A89" s="21">
        <v>100088</v>
      </c>
      <c r="B89" s="22">
        <v>46191</v>
      </c>
      <c r="C89" s="23" t="s">
        <v>35</v>
      </c>
      <c r="D89" s="17" t="s">
        <v>36</v>
      </c>
      <c r="E89" s="23" t="s">
        <v>18</v>
      </c>
      <c r="F89" s="23" t="s">
        <v>27</v>
      </c>
      <c r="G89" s="17" t="s">
        <v>33</v>
      </c>
      <c r="H89" s="23" t="s">
        <v>134</v>
      </c>
      <c r="I89" s="23" t="s">
        <v>30</v>
      </c>
      <c r="J89" s="24">
        <v>5</v>
      </c>
      <c r="K89" s="25">
        <v>32000</v>
      </c>
      <c r="L89" s="26">
        <v>0.05</v>
      </c>
      <c r="M89" s="19">
        <f t="shared" si="4"/>
        <v>152000</v>
      </c>
      <c r="N89" s="25">
        <v>152000</v>
      </c>
      <c r="O89" s="4">
        <v>19000</v>
      </c>
      <c r="P89" s="27" t="s">
        <v>76</v>
      </c>
      <c r="Q89" s="17" t="s">
        <v>24</v>
      </c>
      <c r="R89" t="str">
        <f t="shared" si="5"/>
        <v>OK</v>
      </c>
      <c r="S89" s="2">
        <f t="shared" si="6"/>
        <v>1</v>
      </c>
      <c r="T89" s="35">
        <f t="shared" si="7"/>
        <v>57000</v>
      </c>
    </row>
    <row r="90" spans="1:20" x14ac:dyDescent="0.25">
      <c r="A90" s="14">
        <v>100089</v>
      </c>
      <c r="B90" s="15">
        <v>46024</v>
      </c>
      <c r="C90" s="16" t="s">
        <v>35</v>
      </c>
      <c r="D90" s="17" t="s">
        <v>36</v>
      </c>
      <c r="E90" s="16" t="s">
        <v>43</v>
      </c>
      <c r="F90" s="16" t="s">
        <v>19</v>
      </c>
      <c r="G90" s="17" t="s">
        <v>52</v>
      </c>
      <c r="H90" s="16" t="s">
        <v>86</v>
      </c>
      <c r="I90" s="16" t="s">
        <v>30</v>
      </c>
      <c r="J90" s="18">
        <v>1</v>
      </c>
      <c r="K90" s="19">
        <v>42000</v>
      </c>
      <c r="L90" s="20">
        <v>0.05</v>
      </c>
      <c r="M90" s="19">
        <f t="shared" si="4"/>
        <v>39900</v>
      </c>
      <c r="N90" s="19">
        <v>39900</v>
      </c>
      <c r="O90" s="4">
        <v>28000</v>
      </c>
      <c r="P90" s="17" t="s">
        <v>23</v>
      </c>
      <c r="Q90" s="17" t="s">
        <v>47</v>
      </c>
      <c r="R90" t="str">
        <f t="shared" si="5"/>
        <v>OK</v>
      </c>
      <c r="S90" s="2">
        <f t="shared" si="6"/>
        <v>1</v>
      </c>
      <c r="T90" s="35">
        <f t="shared" si="7"/>
        <v>11900</v>
      </c>
    </row>
    <row r="91" spans="1:20" x14ac:dyDescent="0.25">
      <c r="A91" s="21">
        <v>100090</v>
      </c>
      <c r="B91" s="22">
        <v>46085</v>
      </c>
      <c r="C91" s="23" t="s">
        <v>35</v>
      </c>
      <c r="D91" s="17" t="s">
        <v>36</v>
      </c>
      <c r="E91" s="23" t="s">
        <v>37</v>
      </c>
      <c r="F91" s="23" t="s">
        <v>19</v>
      </c>
      <c r="G91" s="17" t="s">
        <v>52</v>
      </c>
      <c r="H91" s="23" t="s">
        <v>95</v>
      </c>
      <c r="I91" s="23" t="s">
        <v>30</v>
      </c>
      <c r="J91" s="24">
        <v>4</v>
      </c>
      <c r="K91" s="25">
        <v>42000</v>
      </c>
      <c r="L91" s="26">
        <v>0.05</v>
      </c>
      <c r="M91" s="19">
        <f t="shared" si="4"/>
        <v>159600</v>
      </c>
      <c r="N91" s="25">
        <v>159600</v>
      </c>
      <c r="O91" s="4">
        <v>28000</v>
      </c>
      <c r="P91" s="27" t="s">
        <v>23</v>
      </c>
      <c r="Q91" s="17" t="s">
        <v>31</v>
      </c>
      <c r="R91" t="str">
        <f t="shared" si="5"/>
        <v>OK</v>
      </c>
      <c r="S91" s="2">
        <f t="shared" si="6"/>
        <v>1</v>
      </c>
      <c r="T91" s="35">
        <f t="shared" si="7"/>
        <v>47600</v>
      </c>
    </row>
    <row r="92" spans="1:20" x14ac:dyDescent="0.25">
      <c r="A92" s="14">
        <v>100091</v>
      </c>
      <c r="B92" s="15">
        <v>46190</v>
      </c>
      <c r="C92" s="16" t="s">
        <v>55</v>
      </c>
      <c r="D92" s="17" t="s">
        <v>56</v>
      </c>
      <c r="E92" s="16" t="s">
        <v>37</v>
      </c>
      <c r="F92" s="16" t="s">
        <v>44</v>
      </c>
      <c r="G92" s="17" t="s">
        <v>60</v>
      </c>
      <c r="H92" s="16" t="s">
        <v>135</v>
      </c>
      <c r="I92" s="16" t="s">
        <v>22</v>
      </c>
      <c r="J92" s="18">
        <v>2</v>
      </c>
      <c r="K92" s="19">
        <v>9000</v>
      </c>
      <c r="L92" s="20">
        <v>0.1</v>
      </c>
      <c r="M92" s="19">
        <f t="shared" si="4"/>
        <v>16200</v>
      </c>
      <c r="N92" s="19">
        <v>16200</v>
      </c>
      <c r="O92" s="4">
        <v>3500</v>
      </c>
      <c r="P92" s="17" t="s">
        <v>23</v>
      </c>
      <c r="Q92" s="17" t="s">
        <v>40</v>
      </c>
      <c r="R92" t="str">
        <f t="shared" si="5"/>
        <v>OK</v>
      </c>
      <c r="S92" s="2">
        <f t="shared" si="6"/>
        <v>1</v>
      </c>
      <c r="T92" s="35">
        <f t="shared" si="7"/>
        <v>9200</v>
      </c>
    </row>
    <row r="93" spans="1:20" x14ac:dyDescent="0.25">
      <c r="A93" s="21">
        <v>100092</v>
      </c>
      <c r="B93" s="22">
        <v>46153</v>
      </c>
      <c r="C93" s="23" t="s">
        <v>55</v>
      </c>
      <c r="D93" s="17" t="s">
        <v>56</v>
      </c>
      <c r="E93" s="23" t="s">
        <v>43</v>
      </c>
      <c r="F93" s="23" t="s">
        <v>19</v>
      </c>
      <c r="G93" s="17" t="s">
        <v>52</v>
      </c>
      <c r="H93" s="23" t="s">
        <v>125</v>
      </c>
      <c r="I93" s="23" t="s">
        <v>30</v>
      </c>
      <c r="J93" s="24">
        <v>4</v>
      </c>
      <c r="K93" s="25">
        <v>42000</v>
      </c>
      <c r="L93" s="26">
        <v>0.1</v>
      </c>
      <c r="M93" s="19">
        <f t="shared" si="4"/>
        <v>151200</v>
      </c>
      <c r="N93" s="25">
        <v>166320</v>
      </c>
      <c r="O93" s="4">
        <v>28000</v>
      </c>
      <c r="P93" s="27" t="s">
        <v>23</v>
      </c>
      <c r="Q93" s="17" t="s">
        <v>47</v>
      </c>
      <c r="R93" t="str">
        <f t="shared" si="5"/>
        <v>REVENUE MISMATCH</v>
      </c>
      <c r="S93" s="2">
        <f t="shared" si="6"/>
        <v>1.1000000000000001</v>
      </c>
      <c r="T93" s="35">
        <f t="shared" si="7"/>
        <v>39200</v>
      </c>
    </row>
    <row r="94" spans="1:20" x14ac:dyDescent="0.25">
      <c r="A94" s="14">
        <v>100093</v>
      </c>
      <c r="B94" s="15">
        <v>46139</v>
      </c>
      <c r="C94" s="16" t="s">
        <v>32</v>
      </c>
      <c r="D94" s="17" t="s">
        <v>17</v>
      </c>
      <c r="E94" s="16" t="s">
        <v>43</v>
      </c>
      <c r="F94" s="16" t="s">
        <v>44</v>
      </c>
      <c r="G94" s="17" t="s">
        <v>60</v>
      </c>
      <c r="H94" s="16" t="s">
        <v>136</v>
      </c>
      <c r="I94" s="16" t="s">
        <v>30</v>
      </c>
      <c r="J94" s="18">
        <v>5</v>
      </c>
      <c r="K94" s="19">
        <v>9000</v>
      </c>
      <c r="L94" s="20">
        <v>0.2</v>
      </c>
      <c r="M94" s="19">
        <f t="shared" si="4"/>
        <v>36000</v>
      </c>
      <c r="N94" s="19">
        <v>36000</v>
      </c>
      <c r="O94" s="4">
        <v>3500</v>
      </c>
      <c r="P94" s="17" t="s">
        <v>23</v>
      </c>
      <c r="Q94" s="17" t="s">
        <v>54</v>
      </c>
      <c r="R94" t="str">
        <f t="shared" si="5"/>
        <v>OK</v>
      </c>
      <c r="S94" s="2">
        <f t="shared" si="6"/>
        <v>1</v>
      </c>
      <c r="T94" s="35">
        <f t="shared" si="7"/>
        <v>18500</v>
      </c>
    </row>
    <row r="95" spans="1:20" x14ac:dyDescent="0.25">
      <c r="A95" s="21">
        <v>100094</v>
      </c>
      <c r="B95" s="22">
        <v>46223</v>
      </c>
      <c r="C95" s="23" t="s">
        <v>42</v>
      </c>
      <c r="D95" s="17" t="s">
        <v>26</v>
      </c>
      <c r="E95" s="23" t="s">
        <v>43</v>
      </c>
      <c r="F95" s="23" t="s">
        <v>19</v>
      </c>
      <c r="G95" s="17" t="s">
        <v>52</v>
      </c>
      <c r="H95" s="23" t="s">
        <v>89</v>
      </c>
      <c r="I95" s="23" t="s">
        <v>30</v>
      </c>
      <c r="J95" s="24">
        <v>4</v>
      </c>
      <c r="K95" s="25">
        <v>42000</v>
      </c>
      <c r="L95" s="26">
        <v>0.05</v>
      </c>
      <c r="M95" s="19">
        <f t="shared" si="4"/>
        <v>159600</v>
      </c>
      <c r="N95" s="25">
        <v>127680</v>
      </c>
      <c r="O95" s="4">
        <v>28000</v>
      </c>
      <c r="P95" s="27" t="s">
        <v>23</v>
      </c>
      <c r="Q95" s="17" t="s">
        <v>54</v>
      </c>
      <c r="R95" t="str">
        <f t="shared" si="5"/>
        <v>REVENUE MISMATCH</v>
      </c>
      <c r="S95" s="2">
        <f t="shared" si="6"/>
        <v>0.8</v>
      </c>
      <c r="T95" s="35">
        <f t="shared" si="7"/>
        <v>47600</v>
      </c>
    </row>
    <row r="96" spans="1:20" x14ac:dyDescent="0.25">
      <c r="A96" s="14">
        <v>100095</v>
      </c>
      <c r="B96" s="15">
        <v>46148</v>
      </c>
      <c r="C96" s="16" t="s">
        <v>25</v>
      </c>
      <c r="D96" s="17" t="s">
        <v>26</v>
      </c>
      <c r="E96" s="16" t="s">
        <v>37</v>
      </c>
      <c r="F96" s="16" t="s">
        <v>44</v>
      </c>
      <c r="G96" s="17" t="s">
        <v>60</v>
      </c>
      <c r="H96" s="16" t="s">
        <v>137</v>
      </c>
      <c r="I96" s="16" t="s">
        <v>22</v>
      </c>
      <c r="J96" s="18">
        <v>1</v>
      </c>
      <c r="K96" s="19">
        <v>9000</v>
      </c>
      <c r="L96" s="20">
        <v>0.05</v>
      </c>
      <c r="M96" s="19">
        <f t="shared" si="4"/>
        <v>8550</v>
      </c>
      <c r="N96" s="19">
        <v>8550</v>
      </c>
      <c r="O96" s="4">
        <v>3500</v>
      </c>
      <c r="P96" s="17" t="s">
        <v>23</v>
      </c>
      <c r="Q96" s="17" t="s">
        <v>84</v>
      </c>
      <c r="R96" t="str">
        <f t="shared" si="5"/>
        <v>OK</v>
      </c>
      <c r="S96" s="2">
        <f t="shared" si="6"/>
        <v>1</v>
      </c>
      <c r="T96" s="35">
        <f t="shared" si="7"/>
        <v>5050</v>
      </c>
    </row>
    <row r="97" spans="1:20" x14ac:dyDescent="0.25">
      <c r="A97" s="21">
        <v>100096</v>
      </c>
      <c r="B97" s="22">
        <v>46049</v>
      </c>
      <c r="C97" s="23" t="s">
        <v>16</v>
      </c>
      <c r="D97" s="17" t="s">
        <v>17</v>
      </c>
      <c r="E97" s="23" t="s">
        <v>37</v>
      </c>
      <c r="F97" s="23" t="s">
        <v>27</v>
      </c>
      <c r="G97" s="17" t="s">
        <v>38</v>
      </c>
      <c r="H97" s="23" t="s">
        <v>138</v>
      </c>
      <c r="I97" s="23" t="s">
        <v>30</v>
      </c>
      <c r="J97" s="24">
        <v>3</v>
      </c>
      <c r="K97" s="25">
        <v>26000</v>
      </c>
      <c r="L97" s="26">
        <v>0</v>
      </c>
      <c r="M97" s="19">
        <f t="shared" si="4"/>
        <v>78000</v>
      </c>
      <c r="N97" s="25">
        <v>78000</v>
      </c>
      <c r="O97" s="4">
        <v>15000</v>
      </c>
      <c r="P97" s="27" t="s">
        <v>23</v>
      </c>
      <c r="Q97" s="17" t="s">
        <v>58</v>
      </c>
      <c r="R97" t="str">
        <f t="shared" si="5"/>
        <v>OK</v>
      </c>
      <c r="S97" s="2">
        <f t="shared" si="6"/>
        <v>1</v>
      </c>
      <c r="T97" s="35">
        <f t="shared" si="7"/>
        <v>33000</v>
      </c>
    </row>
    <row r="98" spans="1:20" x14ac:dyDescent="0.25">
      <c r="A98" s="14">
        <v>100097</v>
      </c>
      <c r="B98" s="15">
        <v>46122</v>
      </c>
      <c r="C98" s="16" t="s">
        <v>55</v>
      </c>
      <c r="D98" s="17" t="s">
        <v>56</v>
      </c>
      <c r="E98" s="16" t="s">
        <v>43</v>
      </c>
      <c r="F98" s="16" t="s">
        <v>27</v>
      </c>
      <c r="G98" s="17" t="s">
        <v>38</v>
      </c>
      <c r="H98" s="16" t="s">
        <v>69</v>
      </c>
      <c r="I98" s="16" t="s">
        <v>30</v>
      </c>
      <c r="J98" s="18">
        <v>4</v>
      </c>
      <c r="K98" s="19">
        <v>26000</v>
      </c>
      <c r="L98" s="20">
        <v>0</v>
      </c>
      <c r="M98" s="19">
        <f t="shared" si="4"/>
        <v>104000</v>
      </c>
      <c r="N98" s="19">
        <v>104000</v>
      </c>
      <c r="O98" s="4">
        <v>15000</v>
      </c>
      <c r="P98" s="17" t="s">
        <v>23</v>
      </c>
      <c r="Q98" s="17" t="s">
        <v>47</v>
      </c>
      <c r="R98" t="str">
        <f t="shared" si="5"/>
        <v>OK</v>
      </c>
      <c r="S98" s="2">
        <f t="shared" si="6"/>
        <v>1</v>
      </c>
      <c r="T98" s="35">
        <f t="shared" si="7"/>
        <v>44000</v>
      </c>
    </row>
    <row r="99" spans="1:20" x14ac:dyDescent="0.25">
      <c r="A99" s="21">
        <v>100098</v>
      </c>
      <c r="B99" s="22">
        <v>46074</v>
      </c>
      <c r="C99" s="23" t="s">
        <v>25</v>
      </c>
      <c r="D99" s="17" t="s">
        <v>26</v>
      </c>
      <c r="E99" s="23" t="s">
        <v>37</v>
      </c>
      <c r="F99" s="23" t="s">
        <v>19</v>
      </c>
      <c r="G99" s="17" t="s">
        <v>52</v>
      </c>
      <c r="H99" s="23" t="s">
        <v>82</v>
      </c>
      <c r="I99" s="23" t="s">
        <v>22</v>
      </c>
      <c r="J99" s="24">
        <v>1</v>
      </c>
      <c r="K99" s="25">
        <v>42000</v>
      </c>
      <c r="L99" s="26">
        <v>0.05</v>
      </c>
      <c r="M99" s="19">
        <f t="shared" si="4"/>
        <v>39900</v>
      </c>
      <c r="N99" s="25">
        <v>39900</v>
      </c>
      <c r="O99" s="4">
        <v>28000</v>
      </c>
      <c r="P99" s="27" t="s">
        <v>23</v>
      </c>
      <c r="Q99" s="17" t="s">
        <v>54</v>
      </c>
      <c r="R99" t="str">
        <f t="shared" si="5"/>
        <v>OK</v>
      </c>
      <c r="S99" s="2">
        <f t="shared" si="6"/>
        <v>1</v>
      </c>
      <c r="T99" s="35">
        <f t="shared" si="7"/>
        <v>11900</v>
      </c>
    </row>
    <row r="100" spans="1:20" x14ac:dyDescent="0.25">
      <c r="A100" s="14">
        <v>100099</v>
      </c>
      <c r="B100" s="15">
        <v>46089</v>
      </c>
      <c r="C100" s="16" t="s">
        <v>25</v>
      </c>
      <c r="D100" s="17" t="s">
        <v>26</v>
      </c>
      <c r="E100" s="16" t="s">
        <v>43</v>
      </c>
      <c r="F100" s="16" t="s">
        <v>27</v>
      </c>
      <c r="G100" s="17" t="s">
        <v>33</v>
      </c>
      <c r="H100" s="16" t="s">
        <v>53</v>
      </c>
      <c r="I100" s="16" t="s">
        <v>22</v>
      </c>
      <c r="J100" s="18">
        <v>2</v>
      </c>
      <c r="K100" s="19">
        <v>32000</v>
      </c>
      <c r="L100" s="20">
        <v>0</v>
      </c>
      <c r="M100" s="19">
        <f t="shared" si="4"/>
        <v>64000</v>
      </c>
      <c r="N100" s="19">
        <v>64000</v>
      </c>
      <c r="O100" s="4">
        <v>19000</v>
      </c>
      <c r="P100" s="17" t="s">
        <v>23</v>
      </c>
      <c r="Q100" s="17" t="s">
        <v>54</v>
      </c>
      <c r="R100" t="str">
        <f t="shared" si="5"/>
        <v>OK</v>
      </c>
      <c r="S100" s="2">
        <f t="shared" si="6"/>
        <v>1</v>
      </c>
      <c r="T100" s="35">
        <f t="shared" si="7"/>
        <v>26000</v>
      </c>
    </row>
    <row r="101" spans="1:20" x14ac:dyDescent="0.25">
      <c r="A101" s="21">
        <v>100100</v>
      </c>
      <c r="B101" s="22">
        <v>46086</v>
      </c>
      <c r="C101" s="23" t="s">
        <v>42</v>
      </c>
      <c r="D101" s="17" t="s">
        <v>26</v>
      </c>
      <c r="E101" s="23" t="s">
        <v>43</v>
      </c>
      <c r="F101" s="23" t="s">
        <v>27</v>
      </c>
      <c r="G101" s="17" t="s">
        <v>33</v>
      </c>
      <c r="H101" s="23" t="s">
        <v>87</v>
      </c>
      <c r="I101" s="23" t="s">
        <v>22</v>
      </c>
      <c r="J101" s="24">
        <v>3</v>
      </c>
      <c r="K101" s="25">
        <v>32000</v>
      </c>
      <c r="L101" s="26">
        <v>0.05</v>
      </c>
      <c r="M101" s="19">
        <f t="shared" si="4"/>
        <v>91200</v>
      </c>
      <c r="N101" s="25">
        <v>91200</v>
      </c>
      <c r="O101" s="4">
        <v>19000</v>
      </c>
      <c r="P101" s="27" t="s">
        <v>23</v>
      </c>
      <c r="Q101" s="17" t="s">
        <v>64</v>
      </c>
      <c r="R101" t="str">
        <f t="shared" si="5"/>
        <v>OK</v>
      </c>
      <c r="S101" s="2">
        <f t="shared" si="6"/>
        <v>1</v>
      </c>
      <c r="T101" s="35">
        <f t="shared" si="7"/>
        <v>34200</v>
      </c>
    </row>
    <row r="102" spans="1:20" x14ac:dyDescent="0.25">
      <c r="A102" s="14">
        <v>100101</v>
      </c>
      <c r="B102" s="15">
        <v>46213</v>
      </c>
      <c r="C102" s="16" t="s">
        <v>16</v>
      </c>
      <c r="D102" s="17" t="s">
        <v>17</v>
      </c>
      <c r="E102" s="16" t="s">
        <v>43</v>
      </c>
      <c r="F102" s="16" t="s">
        <v>44</v>
      </c>
      <c r="G102" s="17" t="s">
        <v>60</v>
      </c>
      <c r="H102" s="16" t="s">
        <v>139</v>
      </c>
      <c r="I102" s="16" t="s">
        <v>30</v>
      </c>
      <c r="J102" s="18">
        <v>5</v>
      </c>
      <c r="K102" s="19">
        <v>9000</v>
      </c>
      <c r="L102" s="20">
        <v>0.05</v>
      </c>
      <c r="M102" s="19">
        <f t="shared" si="4"/>
        <v>42750</v>
      </c>
      <c r="N102" s="19">
        <v>42750</v>
      </c>
      <c r="O102" s="4">
        <v>3500</v>
      </c>
      <c r="P102" s="17" t="s">
        <v>23</v>
      </c>
      <c r="Q102" s="17" t="s">
        <v>24</v>
      </c>
      <c r="R102" t="str">
        <f t="shared" si="5"/>
        <v>OK</v>
      </c>
      <c r="S102" s="2">
        <f t="shared" si="6"/>
        <v>1</v>
      </c>
      <c r="T102" s="35">
        <f t="shared" si="7"/>
        <v>25250</v>
      </c>
    </row>
    <row r="103" spans="1:20" x14ac:dyDescent="0.25">
      <c r="A103" s="21">
        <v>100102</v>
      </c>
      <c r="B103" s="22">
        <v>46199</v>
      </c>
      <c r="C103" s="23" t="s">
        <v>42</v>
      </c>
      <c r="D103" s="17" t="s">
        <v>26</v>
      </c>
      <c r="E103" s="23" t="s">
        <v>18</v>
      </c>
      <c r="F103" s="23" t="s">
        <v>19</v>
      </c>
      <c r="G103" s="17" t="s">
        <v>62</v>
      </c>
      <c r="H103" s="23" t="s">
        <v>140</v>
      </c>
      <c r="I103" s="23" t="s">
        <v>30</v>
      </c>
      <c r="J103" s="24">
        <v>2</v>
      </c>
      <c r="K103" s="25">
        <v>24000</v>
      </c>
      <c r="L103" s="26">
        <v>0</v>
      </c>
      <c r="M103" s="19">
        <f t="shared" si="4"/>
        <v>48000</v>
      </c>
      <c r="N103" s="25">
        <v>48000</v>
      </c>
      <c r="O103" s="4">
        <v>15000</v>
      </c>
      <c r="P103" s="27" t="s">
        <v>23</v>
      </c>
      <c r="Q103" s="17" t="s">
        <v>64</v>
      </c>
      <c r="R103" t="str">
        <f t="shared" si="5"/>
        <v>OK</v>
      </c>
      <c r="S103" s="2">
        <f t="shared" si="6"/>
        <v>1</v>
      </c>
      <c r="T103" s="35">
        <f t="shared" si="7"/>
        <v>18000</v>
      </c>
    </row>
    <row r="104" spans="1:20" x14ac:dyDescent="0.25">
      <c r="A104" s="14">
        <v>100103</v>
      </c>
      <c r="B104" s="15">
        <v>46193</v>
      </c>
      <c r="C104" s="16" t="s">
        <v>32</v>
      </c>
      <c r="D104" s="17" t="s">
        <v>17</v>
      </c>
      <c r="E104" s="16" t="s">
        <v>37</v>
      </c>
      <c r="F104" s="16" t="s">
        <v>27</v>
      </c>
      <c r="G104" s="17" t="s">
        <v>28</v>
      </c>
      <c r="H104" s="16" t="s">
        <v>141</v>
      </c>
      <c r="I104" s="16" t="s">
        <v>22</v>
      </c>
      <c r="J104" s="18">
        <v>1</v>
      </c>
      <c r="K104" s="19">
        <v>165000</v>
      </c>
      <c r="L104" s="20">
        <v>0</v>
      </c>
      <c r="M104" s="19">
        <f t="shared" si="4"/>
        <v>165000</v>
      </c>
      <c r="N104" s="19">
        <v>165000</v>
      </c>
      <c r="O104" s="4">
        <v>112000</v>
      </c>
      <c r="P104" s="17" t="s">
        <v>76</v>
      </c>
      <c r="Q104" s="17" t="s">
        <v>47</v>
      </c>
      <c r="R104" t="str">
        <f t="shared" si="5"/>
        <v>OK</v>
      </c>
      <c r="S104" s="2">
        <f t="shared" si="6"/>
        <v>1</v>
      </c>
      <c r="T104" s="35">
        <f t="shared" si="7"/>
        <v>53000</v>
      </c>
    </row>
    <row r="105" spans="1:20" x14ac:dyDescent="0.25">
      <c r="A105" s="21">
        <v>100104</v>
      </c>
      <c r="B105" s="22">
        <v>46066</v>
      </c>
      <c r="C105" s="23" t="s">
        <v>25</v>
      </c>
      <c r="D105" s="17" t="s">
        <v>26</v>
      </c>
      <c r="E105" s="23" t="s">
        <v>43</v>
      </c>
      <c r="F105" s="23" t="s">
        <v>27</v>
      </c>
      <c r="G105" s="17" t="s">
        <v>28</v>
      </c>
      <c r="H105" s="23" t="s">
        <v>142</v>
      </c>
      <c r="I105" s="23" t="s">
        <v>22</v>
      </c>
      <c r="J105" s="24">
        <v>3</v>
      </c>
      <c r="K105" s="25">
        <v>165000</v>
      </c>
      <c r="L105" s="26">
        <v>0</v>
      </c>
      <c r="M105" s="19">
        <f t="shared" si="4"/>
        <v>495000</v>
      </c>
      <c r="N105" s="25">
        <v>495000</v>
      </c>
      <c r="O105" s="4">
        <v>112000</v>
      </c>
      <c r="P105" s="27" t="s">
        <v>23</v>
      </c>
      <c r="Q105" s="17" t="s">
        <v>40</v>
      </c>
      <c r="R105" t="str">
        <f t="shared" si="5"/>
        <v>OK</v>
      </c>
      <c r="S105" s="2">
        <f t="shared" si="6"/>
        <v>1</v>
      </c>
      <c r="T105" s="35">
        <f t="shared" si="7"/>
        <v>159000</v>
      </c>
    </row>
    <row r="106" spans="1:20" x14ac:dyDescent="0.25">
      <c r="A106" s="14">
        <v>100105</v>
      </c>
      <c r="B106" s="15">
        <v>46177</v>
      </c>
      <c r="C106" s="16" t="s">
        <v>50</v>
      </c>
      <c r="D106" s="17" t="s">
        <v>51</v>
      </c>
      <c r="E106" s="16" t="s">
        <v>18</v>
      </c>
      <c r="F106" s="16" t="s">
        <v>19</v>
      </c>
      <c r="G106" s="17" t="s">
        <v>20</v>
      </c>
      <c r="H106" s="16" t="s">
        <v>143</v>
      </c>
      <c r="I106" s="16" t="s">
        <v>22</v>
      </c>
      <c r="J106" s="18">
        <v>2</v>
      </c>
      <c r="K106" s="19">
        <v>58000</v>
      </c>
      <c r="L106" s="20">
        <v>0</v>
      </c>
      <c r="M106" s="19">
        <f t="shared" si="4"/>
        <v>116000</v>
      </c>
      <c r="N106" s="19">
        <v>116000</v>
      </c>
      <c r="O106" s="4">
        <v>39000</v>
      </c>
      <c r="P106" s="17" t="s">
        <v>23</v>
      </c>
      <c r="Q106" s="17" t="s">
        <v>58</v>
      </c>
      <c r="R106" t="str">
        <f t="shared" si="5"/>
        <v>OK</v>
      </c>
      <c r="S106" s="2">
        <f t="shared" si="6"/>
        <v>1</v>
      </c>
      <c r="T106" s="35">
        <f t="shared" si="7"/>
        <v>38000</v>
      </c>
    </row>
    <row r="107" spans="1:20" x14ac:dyDescent="0.25">
      <c r="A107" s="21">
        <v>100106</v>
      </c>
      <c r="B107" s="22">
        <v>46082</v>
      </c>
      <c r="C107" s="23" t="s">
        <v>50</v>
      </c>
      <c r="D107" s="17" t="s">
        <v>51</v>
      </c>
      <c r="E107" s="23" t="s">
        <v>43</v>
      </c>
      <c r="F107" s="23" t="s">
        <v>19</v>
      </c>
      <c r="G107" s="17" t="s">
        <v>52</v>
      </c>
      <c r="H107" s="23" t="s">
        <v>144</v>
      </c>
      <c r="I107" s="23" t="s">
        <v>30</v>
      </c>
      <c r="J107" s="24">
        <v>5</v>
      </c>
      <c r="K107" s="25">
        <v>42000</v>
      </c>
      <c r="L107" s="26">
        <v>0.05</v>
      </c>
      <c r="M107" s="19">
        <f t="shared" si="4"/>
        <v>199500</v>
      </c>
      <c r="N107" s="25">
        <v>199500</v>
      </c>
      <c r="O107" s="4">
        <v>28000</v>
      </c>
      <c r="P107" s="27" t="s">
        <v>23</v>
      </c>
      <c r="Q107" s="17" t="s">
        <v>31</v>
      </c>
      <c r="R107" t="str">
        <f t="shared" si="5"/>
        <v>OK</v>
      </c>
      <c r="S107" s="2">
        <f t="shared" si="6"/>
        <v>1</v>
      </c>
      <c r="T107" s="35">
        <f t="shared" si="7"/>
        <v>59500</v>
      </c>
    </row>
    <row r="108" spans="1:20" x14ac:dyDescent="0.25">
      <c r="A108" s="14">
        <v>100107</v>
      </c>
      <c r="B108" s="15">
        <v>46049</v>
      </c>
      <c r="C108" s="16" t="s">
        <v>55</v>
      </c>
      <c r="D108" s="17" t="s">
        <v>56</v>
      </c>
      <c r="E108" s="16" t="s">
        <v>43</v>
      </c>
      <c r="F108" s="16" t="s">
        <v>19</v>
      </c>
      <c r="G108" s="17" t="s">
        <v>20</v>
      </c>
      <c r="H108" s="16" t="s">
        <v>39</v>
      </c>
      <c r="I108" s="16" t="s">
        <v>30</v>
      </c>
      <c r="J108" s="18">
        <v>1</v>
      </c>
      <c r="K108" s="19">
        <v>58000</v>
      </c>
      <c r="L108" s="20">
        <v>0.1</v>
      </c>
      <c r="M108" s="19">
        <f t="shared" si="4"/>
        <v>52200</v>
      </c>
      <c r="N108" s="19">
        <v>52200</v>
      </c>
      <c r="O108" s="4">
        <v>39000</v>
      </c>
      <c r="P108" s="17" t="s">
        <v>23</v>
      </c>
      <c r="Q108" s="17" t="s">
        <v>84</v>
      </c>
      <c r="R108" t="str">
        <f t="shared" si="5"/>
        <v>OK</v>
      </c>
      <c r="S108" s="2">
        <f t="shared" si="6"/>
        <v>1</v>
      </c>
      <c r="T108" s="35">
        <f t="shared" si="7"/>
        <v>13200</v>
      </c>
    </row>
    <row r="109" spans="1:20" x14ac:dyDescent="0.25">
      <c r="A109" s="21">
        <v>100108</v>
      </c>
      <c r="B109" s="22">
        <v>46164</v>
      </c>
      <c r="C109" s="23" t="s">
        <v>16</v>
      </c>
      <c r="D109" s="17" t="s">
        <v>17</v>
      </c>
      <c r="E109" s="23" t="s">
        <v>43</v>
      </c>
      <c r="F109" s="23" t="s">
        <v>44</v>
      </c>
      <c r="G109" s="17" t="s">
        <v>241</v>
      </c>
      <c r="H109" s="23" t="s">
        <v>145</v>
      </c>
      <c r="I109" s="23" t="s">
        <v>30</v>
      </c>
      <c r="J109" s="24">
        <v>1</v>
      </c>
      <c r="K109" s="25">
        <v>6500</v>
      </c>
      <c r="L109" s="26">
        <v>0.15</v>
      </c>
      <c r="M109" s="19">
        <f t="shared" si="4"/>
        <v>5525</v>
      </c>
      <c r="N109" s="25">
        <v>5525</v>
      </c>
      <c r="O109" s="4">
        <v>2200</v>
      </c>
      <c r="P109" s="27" t="s">
        <v>23</v>
      </c>
      <c r="Q109" s="17" t="s">
        <v>58</v>
      </c>
      <c r="R109" t="str">
        <f t="shared" si="5"/>
        <v>OK</v>
      </c>
      <c r="S109" s="2">
        <f t="shared" si="6"/>
        <v>1</v>
      </c>
      <c r="T109" s="35">
        <f t="shared" si="7"/>
        <v>3325</v>
      </c>
    </row>
    <row r="110" spans="1:20" x14ac:dyDescent="0.25">
      <c r="A110" s="14">
        <v>100109</v>
      </c>
      <c r="B110" s="15">
        <v>46234</v>
      </c>
      <c r="C110" s="16" t="s">
        <v>16</v>
      </c>
      <c r="D110" s="17" t="s">
        <v>17</v>
      </c>
      <c r="E110" s="16" t="s">
        <v>18</v>
      </c>
      <c r="F110" s="16" t="s">
        <v>44</v>
      </c>
      <c r="G110" s="17" t="s">
        <v>60</v>
      </c>
      <c r="H110" s="16" t="s">
        <v>146</v>
      </c>
      <c r="I110" s="16" t="s">
        <v>30</v>
      </c>
      <c r="J110" s="18">
        <v>2</v>
      </c>
      <c r="K110" s="19">
        <v>9000</v>
      </c>
      <c r="L110" s="20">
        <v>0.15</v>
      </c>
      <c r="M110" s="19">
        <f t="shared" si="4"/>
        <v>15300</v>
      </c>
      <c r="N110" s="19">
        <v>15300</v>
      </c>
      <c r="O110" s="4">
        <v>3500</v>
      </c>
      <c r="P110" s="17" t="s">
        <v>23</v>
      </c>
      <c r="Q110" s="17" t="s">
        <v>54</v>
      </c>
      <c r="R110" t="str">
        <f t="shared" si="5"/>
        <v>OK</v>
      </c>
      <c r="S110" s="2">
        <f t="shared" si="6"/>
        <v>1</v>
      </c>
      <c r="T110" s="35">
        <f t="shared" si="7"/>
        <v>8300</v>
      </c>
    </row>
    <row r="111" spans="1:20" x14ac:dyDescent="0.25">
      <c r="A111" s="21">
        <v>100110</v>
      </c>
      <c r="B111" s="22">
        <v>46216</v>
      </c>
      <c r="C111" s="23" t="s">
        <v>42</v>
      </c>
      <c r="D111" s="17" t="s">
        <v>26</v>
      </c>
      <c r="E111" s="23" t="s">
        <v>43</v>
      </c>
      <c r="F111" s="23" t="s">
        <v>19</v>
      </c>
      <c r="G111" s="17" t="s">
        <v>52</v>
      </c>
      <c r="H111" s="23" t="s">
        <v>127</v>
      </c>
      <c r="I111" s="23" t="s">
        <v>22</v>
      </c>
      <c r="J111" s="24">
        <v>1</v>
      </c>
      <c r="K111" s="25">
        <v>42000</v>
      </c>
      <c r="L111" s="26">
        <v>0</v>
      </c>
      <c r="M111" s="19">
        <f t="shared" si="4"/>
        <v>42000</v>
      </c>
      <c r="N111" s="25">
        <v>42000</v>
      </c>
      <c r="O111" s="4">
        <v>28000</v>
      </c>
      <c r="P111" s="27" t="s">
        <v>23</v>
      </c>
      <c r="Q111" s="17" t="s">
        <v>58</v>
      </c>
      <c r="R111" t="str">
        <f t="shared" si="5"/>
        <v>OK</v>
      </c>
      <c r="S111" s="2">
        <f t="shared" si="6"/>
        <v>1</v>
      </c>
      <c r="T111" s="35">
        <f t="shared" si="7"/>
        <v>14000</v>
      </c>
    </row>
    <row r="112" spans="1:20" x14ac:dyDescent="0.25">
      <c r="A112" s="14">
        <v>100111</v>
      </c>
      <c r="B112" s="15">
        <v>46234</v>
      </c>
      <c r="C112" s="16" t="s">
        <v>42</v>
      </c>
      <c r="D112" s="17" t="s">
        <v>26</v>
      </c>
      <c r="E112" s="16" t="s">
        <v>43</v>
      </c>
      <c r="F112" s="16" t="s">
        <v>44</v>
      </c>
      <c r="G112" s="17" t="s">
        <v>65</v>
      </c>
      <c r="H112" s="16" t="s">
        <v>147</v>
      </c>
      <c r="I112" s="16" t="s">
        <v>30</v>
      </c>
      <c r="J112" s="18">
        <v>1</v>
      </c>
      <c r="K112" s="19">
        <v>28000</v>
      </c>
      <c r="L112" s="20">
        <v>0.05</v>
      </c>
      <c r="M112" s="19">
        <f t="shared" si="4"/>
        <v>26600</v>
      </c>
      <c r="N112" s="19">
        <v>26600</v>
      </c>
      <c r="O112" s="4">
        <v>16000</v>
      </c>
      <c r="P112" s="17" t="s">
        <v>23</v>
      </c>
      <c r="Q112" s="17" t="s">
        <v>54</v>
      </c>
      <c r="R112" t="str">
        <f t="shared" si="5"/>
        <v>OK</v>
      </c>
      <c r="S112" s="2">
        <f t="shared" si="6"/>
        <v>1</v>
      </c>
      <c r="T112" s="35">
        <f t="shared" si="7"/>
        <v>10600</v>
      </c>
    </row>
    <row r="113" spans="1:20" x14ac:dyDescent="0.25">
      <c r="A113" s="21">
        <v>100112</v>
      </c>
      <c r="B113" s="22">
        <v>46048</v>
      </c>
      <c r="C113" s="23" t="s">
        <v>35</v>
      </c>
      <c r="D113" s="17" t="s">
        <v>36</v>
      </c>
      <c r="E113" s="23" t="s">
        <v>43</v>
      </c>
      <c r="F113" s="23" t="s">
        <v>27</v>
      </c>
      <c r="G113" s="17" t="s">
        <v>38</v>
      </c>
      <c r="H113" s="23" t="s">
        <v>148</v>
      </c>
      <c r="I113" s="23" t="s">
        <v>22</v>
      </c>
      <c r="J113" s="24">
        <v>2</v>
      </c>
      <c r="K113" s="25">
        <v>26000</v>
      </c>
      <c r="L113" s="26">
        <v>0.1</v>
      </c>
      <c r="M113" s="19">
        <f t="shared" si="4"/>
        <v>46800</v>
      </c>
      <c r="N113" s="25">
        <v>46800</v>
      </c>
      <c r="O113" s="4">
        <v>15000</v>
      </c>
      <c r="P113" s="27" t="s">
        <v>23</v>
      </c>
      <c r="Q113" s="17" t="s">
        <v>24</v>
      </c>
      <c r="R113" t="str">
        <f t="shared" si="5"/>
        <v>OK</v>
      </c>
      <c r="S113" s="2">
        <f t="shared" si="6"/>
        <v>1</v>
      </c>
      <c r="T113" s="35">
        <f t="shared" si="7"/>
        <v>16800</v>
      </c>
    </row>
    <row r="114" spans="1:20" x14ac:dyDescent="0.25">
      <c r="A114" s="14">
        <v>100113</v>
      </c>
      <c r="B114" s="15">
        <v>46065</v>
      </c>
      <c r="C114" s="16" t="s">
        <v>16</v>
      </c>
      <c r="D114" s="17" t="s">
        <v>17</v>
      </c>
      <c r="E114" s="16" t="s">
        <v>43</v>
      </c>
      <c r="F114" s="16" t="s">
        <v>19</v>
      </c>
      <c r="G114" s="17" t="s">
        <v>20</v>
      </c>
      <c r="H114" s="16" t="s">
        <v>112</v>
      </c>
      <c r="I114" s="16" t="s">
        <v>22</v>
      </c>
      <c r="J114" s="18">
        <v>3</v>
      </c>
      <c r="K114" s="19">
        <v>58000</v>
      </c>
      <c r="L114" s="20">
        <v>0.05</v>
      </c>
      <c r="M114" s="19">
        <f t="shared" si="4"/>
        <v>165300</v>
      </c>
      <c r="N114" s="19">
        <v>165300</v>
      </c>
      <c r="O114" s="4">
        <v>39000</v>
      </c>
      <c r="P114" s="17" t="s">
        <v>23</v>
      </c>
      <c r="Q114" s="17" t="s">
        <v>31</v>
      </c>
      <c r="R114" t="str">
        <f t="shared" si="5"/>
        <v>OK</v>
      </c>
      <c r="S114" s="2">
        <f t="shared" si="6"/>
        <v>1</v>
      </c>
      <c r="T114" s="35">
        <f t="shared" si="7"/>
        <v>48300</v>
      </c>
    </row>
    <row r="115" spans="1:20" x14ac:dyDescent="0.25">
      <c r="A115" s="21">
        <v>100114</v>
      </c>
      <c r="B115" s="22">
        <v>46194</v>
      </c>
      <c r="C115" s="23" t="s">
        <v>32</v>
      </c>
      <c r="D115" s="17" t="s">
        <v>17</v>
      </c>
      <c r="E115" s="23" t="s">
        <v>37</v>
      </c>
      <c r="F115" s="23" t="s">
        <v>44</v>
      </c>
      <c r="G115" s="17" t="s">
        <v>241</v>
      </c>
      <c r="H115" s="23" t="s">
        <v>91</v>
      </c>
      <c r="I115" s="23" t="s">
        <v>30</v>
      </c>
      <c r="J115" s="24">
        <v>2</v>
      </c>
      <c r="K115" s="25">
        <v>6500</v>
      </c>
      <c r="L115" s="26">
        <v>0.25</v>
      </c>
      <c r="M115" s="19">
        <f t="shared" si="4"/>
        <v>9750</v>
      </c>
      <c r="N115" s="25">
        <v>9750</v>
      </c>
      <c r="O115" s="4">
        <v>2200</v>
      </c>
      <c r="P115" s="27" t="s">
        <v>23</v>
      </c>
      <c r="Q115" s="17" t="s">
        <v>24</v>
      </c>
      <c r="R115" t="str">
        <f t="shared" si="5"/>
        <v>OK</v>
      </c>
      <c r="S115" s="2">
        <f t="shared" si="6"/>
        <v>1</v>
      </c>
      <c r="T115" s="35">
        <f t="shared" si="7"/>
        <v>5350</v>
      </c>
    </row>
    <row r="116" spans="1:20" x14ac:dyDescent="0.25">
      <c r="A116" s="14">
        <v>100115</v>
      </c>
      <c r="B116" s="15">
        <v>46112</v>
      </c>
      <c r="C116" s="16" t="s">
        <v>42</v>
      </c>
      <c r="D116" s="17" t="s">
        <v>26</v>
      </c>
      <c r="E116" s="16" t="s">
        <v>37</v>
      </c>
      <c r="F116" s="16" t="s">
        <v>27</v>
      </c>
      <c r="G116" s="17" t="s">
        <v>38</v>
      </c>
      <c r="H116" s="16" t="s">
        <v>149</v>
      </c>
      <c r="I116" s="16" t="s">
        <v>22</v>
      </c>
      <c r="J116" s="18">
        <v>2</v>
      </c>
      <c r="K116" s="19">
        <v>26000</v>
      </c>
      <c r="L116" s="20">
        <v>0.1</v>
      </c>
      <c r="M116" s="19">
        <f t="shared" si="4"/>
        <v>46800</v>
      </c>
      <c r="N116" s="19">
        <v>46800</v>
      </c>
      <c r="O116" s="4">
        <v>15000</v>
      </c>
      <c r="P116" s="17" t="s">
        <v>23</v>
      </c>
      <c r="Q116" s="17" t="s">
        <v>84</v>
      </c>
      <c r="R116" t="str">
        <f t="shared" si="5"/>
        <v>OK</v>
      </c>
      <c r="S116" s="2">
        <f t="shared" si="6"/>
        <v>1</v>
      </c>
      <c r="T116" s="35">
        <f t="shared" si="7"/>
        <v>16800</v>
      </c>
    </row>
    <row r="117" spans="1:20" x14ac:dyDescent="0.25">
      <c r="A117" s="21">
        <v>100116</v>
      </c>
      <c r="B117" s="22">
        <v>46056</v>
      </c>
      <c r="C117" s="23" t="s">
        <v>55</v>
      </c>
      <c r="D117" s="17" t="s">
        <v>56</v>
      </c>
      <c r="E117" s="23" t="s">
        <v>43</v>
      </c>
      <c r="F117" s="23" t="s">
        <v>44</v>
      </c>
      <c r="G117" s="17" t="s">
        <v>65</v>
      </c>
      <c r="H117" s="23" t="s">
        <v>107</v>
      </c>
      <c r="I117" s="23" t="s">
        <v>30</v>
      </c>
      <c r="J117" s="24">
        <v>5</v>
      </c>
      <c r="K117" s="25">
        <v>28000</v>
      </c>
      <c r="L117" s="26">
        <v>0</v>
      </c>
      <c r="M117" s="19">
        <f t="shared" si="4"/>
        <v>140000</v>
      </c>
      <c r="N117" s="25">
        <v>140000</v>
      </c>
      <c r="O117" s="4">
        <v>16000</v>
      </c>
      <c r="P117" s="27" t="s">
        <v>23</v>
      </c>
      <c r="Q117" s="17" t="s">
        <v>31</v>
      </c>
      <c r="R117" t="str">
        <f t="shared" si="5"/>
        <v>OK</v>
      </c>
      <c r="S117" s="2">
        <f t="shared" si="6"/>
        <v>1</v>
      </c>
      <c r="T117" s="35">
        <f t="shared" si="7"/>
        <v>60000</v>
      </c>
    </row>
    <row r="118" spans="1:20" x14ac:dyDescent="0.25">
      <c r="A118" s="14">
        <v>100117</v>
      </c>
      <c r="B118" s="15">
        <v>46122</v>
      </c>
      <c r="C118" s="16" t="s">
        <v>42</v>
      </c>
      <c r="D118" s="17" t="s">
        <v>26</v>
      </c>
      <c r="E118" s="16" t="s">
        <v>43</v>
      </c>
      <c r="F118" s="16" t="s">
        <v>44</v>
      </c>
      <c r="G118" s="17" t="s">
        <v>60</v>
      </c>
      <c r="H118" s="16" t="s">
        <v>113</v>
      </c>
      <c r="I118" s="16" t="s">
        <v>22</v>
      </c>
      <c r="J118" s="18">
        <v>4</v>
      </c>
      <c r="K118" s="19">
        <v>9000</v>
      </c>
      <c r="L118" s="20">
        <v>0</v>
      </c>
      <c r="M118" s="19">
        <f t="shared" si="4"/>
        <v>36000</v>
      </c>
      <c r="N118" s="19">
        <v>36000</v>
      </c>
      <c r="O118" s="4">
        <v>3500</v>
      </c>
      <c r="P118" s="17" t="s">
        <v>23</v>
      </c>
      <c r="Q118" s="17" t="s">
        <v>64</v>
      </c>
      <c r="R118" t="str">
        <f t="shared" si="5"/>
        <v>OK</v>
      </c>
      <c r="S118" s="2">
        <f t="shared" si="6"/>
        <v>1</v>
      </c>
      <c r="T118" s="35">
        <f t="shared" si="7"/>
        <v>22000</v>
      </c>
    </row>
    <row r="119" spans="1:20" x14ac:dyDescent="0.25">
      <c r="A119" s="21">
        <v>100118</v>
      </c>
      <c r="B119" s="22">
        <v>46260</v>
      </c>
      <c r="C119" s="23" t="s">
        <v>50</v>
      </c>
      <c r="D119" s="17" t="s">
        <v>51</v>
      </c>
      <c r="E119" s="23" t="s">
        <v>18</v>
      </c>
      <c r="F119" s="23" t="s">
        <v>27</v>
      </c>
      <c r="G119" s="17" t="s">
        <v>38</v>
      </c>
      <c r="H119" s="23" t="s">
        <v>87</v>
      </c>
      <c r="I119" s="23" t="s">
        <v>22</v>
      </c>
      <c r="J119" s="24">
        <v>3</v>
      </c>
      <c r="K119" s="25">
        <v>26000</v>
      </c>
      <c r="L119" s="26">
        <v>0</v>
      </c>
      <c r="M119" s="19">
        <f t="shared" si="4"/>
        <v>78000</v>
      </c>
      <c r="N119" s="25">
        <v>78000</v>
      </c>
      <c r="O119" s="4">
        <v>15000</v>
      </c>
      <c r="P119" s="27" t="s">
        <v>23</v>
      </c>
      <c r="Q119" s="17" t="s">
        <v>58</v>
      </c>
      <c r="R119" t="str">
        <f t="shared" si="5"/>
        <v>OK</v>
      </c>
      <c r="S119" s="2">
        <f t="shared" si="6"/>
        <v>1</v>
      </c>
      <c r="T119" s="35">
        <f t="shared" si="7"/>
        <v>33000</v>
      </c>
    </row>
    <row r="120" spans="1:20" x14ac:dyDescent="0.25">
      <c r="A120" s="14">
        <v>100119</v>
      </c>
      <c r="B120" s="15">
        <v>46201</v>
      </c>
      <c r="C120" s="16" t="s">
        <v>42</v>
      </c>
      <c r="D120" s="17" t="s">
        <v>26</v>
      </c>
      <c r="E120" s="16" t="s">
        <v>18</v>
      </c>
      <c r="F120" s="16" t="s">
        <v>44</v>
      </c>
      <c r="G120" s="17" t="s">
        <v>60</v>
      </c>
      <c r="H120" s="16" t="s">
        <v>59</v>
      </c>
      <c r="I120" s="16" t="s">
        <v>30</v>
      </c>
      <c r="J120" s="18">
        <v>4</v>
      </c>
      <c r="K120" s="19">
        <v>9000</v>
      </c>
      <c r="L120" s="20">
        <v>0</v>
      </c>
      <c r="M120" s="19">
        <f t="shared" si="4"/>
        <v>36000</v>
      </c>
      <c r="N120" s="19">
        <v>36000</v>
      </c>
      <c r="O120" s="4">
        <v>3500</v>
      </c>
      <c r="P120" s="17" t="s">
        <v>23</v>
      </c>
      <c r="Q120" s="17" t="s">
        <v>54</v>
      </c>
      <c r="R120" t="str">
        <f t="shared" si="5"/>
        <v>OK</v>
      </c>
      <c r="S120" s="2">
        <f t="shared" si="6"/>
        <v>1</v>
      </c>
      <c r="T120" s="35">
        <f t="shared" si="7"/>
        <v>22000</v>
      </c>
    </row>
    <row r="121" spans="1:20" x14ac:dyDescent="0.25">
      <c r="A121" s="21">
        <v>100120</v>
      </c>
      <c r="B121" s="22">
        <v>46048</v>
      </c>
      <c r="C121" s="23" t="s">
        <v>25</v>
      </c>
      <c r="D121" s="17" t="s">
        <v>26</v>
      </c>
      <c r="E121" s="23" t="s">
        <v>43</v>
      </c>
      <c r="F121" s="23" t="s">
        <v>27</v>
      </c>
      <c r="G121" s="17" t="s">
        <v>28</v>
      </c>
      <c r="H121" s="23" t="s">
        <v>151</v>
      </c>
      <c r="I121" s="23" t="s">
        <v>30</v>
      </c>
      <c r="J121" s="24">
        <v>1</v>
      </c>
      <c r="K121" s="25">
        <v>165000</v>
      </c>
      <c r="L121" s="26">
        <v>0</v>
      </c>
      <c r="M121" s="19">
        <f t="shared" si="4"/>
        <v>165000</v>
      </c>
      <c r="N121" s="25">
        <v>165000</v>
      </c>
      <c r="O121" s="4">
        <v>112000</v>
      </c>
      <c r="P121" s="27" t="s">
        <v>76</v>
      </c>
      <c r="Q121" s="17" t="s">
        <v>58</v>
      </c>
      <c r="R121" t="str">
        <f t="shared" si="5"/>
        <v>OK</v>
      </c>
      <c r="S121" s="2">
        <f t="shared" si="6"/>
        <v>1</v>
      </c>
      <c r="T121" s="35">
        <f t="shared" si="7"/>
        <v>53000</v>
      </c>
    </row>
    <row r="122" spans="1:20" x14ac:dyDescent="0.25">
      <c r="A122" s="14">
        <v>100121</v>
      </c>
      <c r="B122" s="15">
        <v>46248</v>
      </c>
      <c r="C122" s="16" t="s">
        <v>50</v>
      </c>
      <c r="D122" s="17" t="s">
        <v>51</v>
      </c>
      <c r="E122" s="16" t="s">
        <v>43</v>
      </c>
      <c r="F122" s="16" t="s">
        <v>44</v>
      </c>
      <c r="G122" s="17" t="s">
        <v>60</v>
      </c>
      <c r="H122" s="16" t="s">
        <v>152</v>
      </c>
      <c r="I122" s="16" t="s">
        <v>22</v>
      </c>
      <c r="J122" s="18">
        <v>4</v>
      </c>
      <c r="K122" s="19">
        <v>9000</v>
      </c>
      <c r="L122" s="20">
        <v>0</v>
      </c>
      <c r="M122" s="19">
        <f t="shared" si="4"/>
        <v>36000</v>
      </c>
      <c r="N122" s="19">
        <v>32400</v>
      </c>
      <c r="O122" s="4">
        <v>3500</v>
      </c>
      <c r="P122" s="17" t="s">
        <v>23</v>
      </c>
      <c r="Q122" s="17" t="s">
        <v>47</v>
      </c>
      <c r="R122" t="str">
        <f t="shared" si="5"/>
        <v>REVENUE MISMATCH</v>
      </c>
      <c r="S122" s="2">
        <f t="shared" si="6"/>
        <v>0.9</v>
      </c>
      <c r="T122" s="35">
        <f t="shared" si="7"/>
        <v>22000</v>
      </c>
    </row>
    <row r="123" spans="1:20" x14ac:dyDescent="0.25">
      <c r="A123" s="21">
        <v>100122</v>
      </c>
      <c r="B123" s="22">
        <v>46226</v>
      </c>
      <c r="C123" s="23" t="s">
        <v>55</v>
      </c>
      <c r="D123" s="17" t="s">
        <v>56</v>
      </c>
      <c r="E123" s="23" t="s">
        <v>43</v>
      </c>
      <c r="F123" s="23" t="s">
        <v>19</v>
      </c>
      <c r="G123" s="17" t="s">
        <v>62</v>
      </c>
      <c r="H123" s="23" t="s">
        <v>81</v>
      </c>
      <c r="I123" s="23" t="s">
        <v>22</v>
      </c>
      <c r="J123" s="24">
        <v>3</v>
      </c>
      <c r="K123" s="25">
        <v>24000</v>
      </c>
      <c r="L123" s="26">
        <v>0</v>
      </c>
      <c r="M123" s="19">
        <f t="shared" si="4"/>
        <v>72000</v>
      </c>
      <c r="N123" s="25">
        <v>72000</v>
      </c>
      <c r="O123" s="4">
        <v>15000</v>
      </c>
      <c r="P123" s="27" t="s">
        <v>23</v>
      </c>
      <c r="Q123" s="17" t="s">
        <v>64</v>
      </c>
      <c r="R123" t="str">
        <f t="shared" si="5"/>
        <v>OK</v>
      </c>
      <c r="S123" s="2">
        <f t="shared" si="6"/>
        <v>1</v>
      </c>
      <c r="T123" s="35">
        <f t="shared" si="7"/>
        <v>27000</v>
      </c>
    </row>
    <row r="124" spans="1:20" x14ac:dyDescent="0.25">
      <c r="A124" s="14">
        <v>100123</v>
      </c>
      <c r="B124" s="15">
        <v>46172</v>
      </c>
      <c r="C124" s="16" t="s">
        <v>32</v>
      </c>
      <c r="D124" s="17" t="s">
        <v>17</v>
      </c>
      <c r="E124" s="16" t="s">
        <v>43</v>
      </c>
      <c r="F124" s="16" t="s">
        <v>27</v>
      </c>
      <c r="G124" s="17" t="s">
        <v>33</v>
      </c>
      <c r="H124" s="16" t="s">
        <v>131</v>
      </c>
      <c r="I124" s="16" t="s">
        <v>30</v>
      </c>
      <c r="J124" s="18">
        <v>4</v>
      </c>
      <c r="K124" s="19">
        <v>32000</v>
      </c>
      <c r="L124" s="20">
        <v>0.1</v>
      </c>
      <c r="M124" s="19">
        <f t="shared" si="4"/>
        <v>115200</v>
      </c>
      <c r="N124" s="19">
        <v>115200</v>
      </c>
      <c r="O124" s="4">
        <v>19000</v>
      </c>
      <c r="P124" s="17" t="s">
        <v>23</v>
      </c>
      <c r="Q124" s="17" t="s">
        <v>54</v>
      </c>
      <c r="R124" t="str">
        <f t="shared" si="5"/>
        <v>OK</v>
      </c>
      <c r="S124" s="2">
        <f t="shared" si="6"/>
        <v>1</v>
      </c>
      <c r="T124" s="35">
        <f t="shared" si="7"/>
        <v>39200</v>
      </c>
    </row>
    <row r="125" spans="1:20" x14ac:dyDescent="0.25">
      <c r="A125" s="21">
        <v>100124</v>
      </c>
      <c r="B125" s="22">
        <v>46227</v>
      </c>
      <c r="C125" s="23" t="s">
        <v>35</v>
      </c>
      <c r="D125" s="17" t="s">
        <v>36</v>
      </c>
      <c r="E125" s="23" t="s">
        <v>37</v>
      </c>
      <c r="F125" s="23" t="s">
        <v>27</v>
      </c>
      <c r="G125" s="17" t="s">
        <v>33</v>
      </c>
      <c r="H125" s="23" t="s">
        <v>101</v>
      </c>
      <c r="I125" s="23" t="s">
        <v>30</v>
      </c>
      <c r="J125" s="24">
        <v>3</v>
      </c>
      <c r="K125" s="25">
        <v>32000</v>
      </c>
      <c r="L125" s="26">
        <v>0.15</v>
      </c>
      <c r="M125" s="19">
        <f t="shared" si="4"/>
        <v>81600</v>
      </c>
      <c r="N125" s="25">
        <v>81600</v>
      </c>
      <c r="O125" s="4">
        <v>19000</v>
      </c>
      <c r="P125" s="27" t="s">
        <v>23</v>
      </c>
      <c r="Q125" s="17" t="s">
        <v>58</v>
      </c>
      <c r="R125" t="str">
        <f t="shared" si="5"/>
        <v>OK</v>
      </c>
      <c r="S125" s="2">
        <f t="shared" si="6"/>
        <v>1</v>
      </c>
      <c r="T125" s="35">
        <f t="shared" si="7"/>
        <v>24600</v>
      </c>
    </row>
    <row r="126" spans="1:20" x14ac:dyDescent="0.25">
      <c r="A126" s="14">
        <v>100125</v>
      </c>
      <c r="B126" s="15">
        <v>46081</v>
      </c>
      <c r="C126" s="16" t="s">
        <v>55</v>
      </c>
      <c r="D126" s="17" t="s">
        <v>56</v>
      </c>
      <c r="E126" s="16" t="s">
        <v>43</v>
      </c>
      <c r="F126" s="16" t="s">
        <v>27</v>
      </c>
      <c r="G126" s="17" t="s">
        <v>33</v>
      </c>
      <c r="H126" s="16" t="s">
        <v>73</v>
      </c>
      <c r="I126" s="16" t="s">
        <v>30</v>
      </c>
      <c r="J126" s="18">
        <v>3</v>
      </c>
      <c r="K126" s="19">
        <v>32000</v>
      </c>
      <c r="L126" s="20">
        <v>0.15</v>
      </c>
      <c r="M126" s="19">
        <f t="shared" si="4"/>
        <v>81600</v>
      </c>
      <c r="N126" s="19">
        <v>81600</v>
      </c>
      <c r="O126" s="4">
        <v>19000</v>
      </c>
      <c r="P126" s="17" t="s">
        <v>23</v>
      </c>
      <c r="Q126" s="17" t="s">
        <v>24</v>
      </c>
      <c r="R126" t="str">
        <f t="shared" si="5"/>
        <v>OK</v>
      </c>
      <c r="S126" s="2">
        <f t="shared" si="6"/>
        <v>1</v>
      </c>
      <c r="T126" s="35">
        <f t="shared" si="7"/>
        <v>24600</v>
      </c>
    </row>
    <row r="127" spans="1:20" x14ac:dyDescent="0.25">
      <c r="A127" s="21">
        <v>100126</v>
      </c>
      <c r="B127" s="22">
        <v>46221</v>
      </c>
      <c r="C127" s="23" t="s">
        <v>16</v>
      </c>
      <c r="D127" s="17" t="s">
        <v>17</v>
      </c>
      <c r="E127" s="23" t="s">
        <v>18</v>
      </c>
      <c r="F127" s="23" t="s">
        <v>27</v>
      </c>
      <c r="G127" s="17" t="s">
        <v>28</v>
      </c>
      <c r="H127" s="23" t="s">
        <v>74</v>
      </c>
      <c r="I127" s="23" t="s">
        <v>30</v>
      </c>
      <c r="J127" s="24">
        <v>2</v>
      </c>
      <c r="K127" s="25">
        <v>165000</v>
      </c>
      <c r="L127" s="26">
        <v>0.25</v>
      </c>
      <c r="M127" s="19">
        <f t="shared" si="4"/>
        <v>247500</v>
      </c>
      <c r="N127" s="25">
        <v>247500</v>
      </c>
      <c r="O127" s="4">
        <v>112000</v>
      </c>
      <c r="P127" s="27" t="s">
        <v>23</v>
      </c>
      <c r="Q127" s="17" t="s">
        <v>64</v>
      </c>
      <c r="R127" t="str">
        <f t="shared" si="5"/>
        <v>OK</v>
      </c>
      <c r="S127" s="2">
        <f t="shared" si="6"/>
        <v>1</v>
      </c>
      <c r="T127" s="35">
        <f t="shared" si="7"/>
        <v>23500</v>
      </c>
    </row>
    <row r="128" spans="1:20" x14ac:dyDescent="0.25">
      <c r="A128" s="14">
        <v>100127</v>
      </c>
      <c r="B128" s="15">
        <v>46032</v>
      </c>
      <c r="C128" s="16" t="s">
        <v>32</v>
      </c>
      <c r="D128" s="17" t="s">
        <v>17</v>
      </c>
      <c r="E128" s="16" t="s">
        <v>37</v>
      </c>
      <c r="F128" s="16" t="s">
        <v>44</v>
      </c>
      <c r="G128" s="17" t="s">
        <v>60</v>
      </c>
      <c r="H128" s="16" t="s">
        <v>153</v>
      </c>
      <c r="I128" s="16" t="s">
        <v>30</v>
      </c>
      <c r="J128" s="18">
        <v>3</v>
      </c>
      <c r="K128" s="19">
        <v>9000</v>
      </c>
      <c r="L128" s="20">
        <v>0.25</v>
      </c>
      <c r="M128" s="19">
        <f t="shared" si="4"/>
        <v>20250</v>
      </c>
      <c r="N128" s="19">
        <v>20250</v>
      </c>
      <c r="O128" s="4">
        <v>3500</v>
      </c>
      <c r="P128" s="17" t="s">
        <v>23</v>
      </c>
      <c r="Q128" s="17" t="s">
        <v>47</v>
      </c>
      <c r="R128" t="str">
        <f t="shared" si="5"/>
        <v>OK</v>
      </c>
      <c r="S128" s="2">
        <f t="shared" si="6"/>
        <v>1</v>
      </c>
      <c r="T128" s="35">
        <f t="shared" si="7"/>
        <v>9750</v>
      </c>
    </row>
    <row r="129" spans="1:20" x14ac:dyDescent="0.25">
      <c r="A129" s="21">
        <v>100128</v>
      </c>
      <c r="B129" s="22">
        <v>46113</v>
      </c>
      <c r="C129" s="23" t="s">
        <v>32</v>
      </c>
      <c r="D129" s="17" t="s">
        <v>17</v>
      </c>
      <c r="E129" s="23" t="s">
        <v>18</v>
      </c>
      <c r="F129" s="23" t="s">
        <v>27</v>
      </c>
      <c r="G129" s="17" t="s">
        <v>28</v>
      </c>
      <c r="H129" s="23" t="s">
        <v>152</v>
      </c>
      <c r="I129" s="23" t="s">
        <v>22</v>
      </c>
      <c r="J129" s="24">
        <v>2</v>
      </c>
      <c r="K129" s="25">
        <v>165000</v>
      </c>
      <c r="L129" s="26">
        <v>0</v>
      </c>
      <c r="M129" s="19">
        <f t="shared" si="4"/>
        <v>330000</v>
      </c>
      <c r="N129" s="25">
        <v>330000</v>
      </c>
      <c r="O129" s="4">
        <v>112000</v>
      </c>
      <c r="P129" s="27" t="s">
        <v>23</v>
      </c>
      <c r="Q129" s="17" t="s">
        <v>58</v>
      </c>
      <c r="R129" t="str">
        <f t="shared" si="5"/>
        <v>OK</v>
      </c>
      <c r="S129" s="2">
        <f t="shared" si="6"/>
        <v>1</v>
      </c>
      <c r="T129" s="35">
        <f t="shared" si="7"/>
        <v>106000</v>
      </c>
    </row>
    <row r="130" spans="1:20" x14ac:dyDescent="0.25">
      <c r="A130" s="14">
        <v>100129</v>
      </c>
      <c r="B130" s="15">
        <v>46114</v>
      </c>
      <c r="C130" s="16" t="s">
        <v>55</v>
      </c>
      <c r="D130" s="17" t="s">
        <v>56</v>
      </c>
      <c r="E130" s="16" t="s">
        <v>18</v>
      </c>
      <c r="F130" s="16" t="s">
        <v>44</v>
      </c>
      <c r="G130" s="17" t="s">
        <v>65</v>
      </c>
      <c r="H130" s="16" t="s">
        <v>154</v>
      </c>
      <c r="I130" s="16" t="s">
        <v>22</v>
      </c>
      <c r="J130" s="18">
        <v>2</v>
      </c>
      <c r="K130" s="19">
        <v>28000</v>
      </c>
      <c r="L130" s="20">
        <v>0.05</v>
      </c>
      <c r="M130" s="19">
        <f t="shared" ref="M130:M193" si="8">J130*K130*(1-L130)</f>
        <v>53200</v>
      </c>
      <c r="N130" s="19">
        <v>53200</v>
      </c>
      <c r="O130" s="4">
        <v>16000</v>
      </c>
      <c r="P130" s="17" t="s">
        <v>23</v>
      </c>
      <c r="Q130" s="17" t="s">
        <v>24</v>
      </c>
      <c r="R130" t="str">
        <f t="shared" ref="R130:R193" si="9">IF(ABS(N130-M130)&gt;1,"REVENUE MISMATCH","OK")</f>
        <v>OK</v>
      </c>
      <c r="S130" s="2">
        <f t="shared" ref="S130:S193" si="10">N130/M130</f>
        <v>1</v>
      </c>
      <c r="T130" s="35">
        <f t="shared" si="7"/>
        <v>21200</v>
      </c>
    </row>
    <row r="131" spans="1:20" x14ac:dyDescent="0.25">
      <c r="A131" s="21">
        <v>100130</v>
      </c>
      <c r="B131" s="22">
        <v>46126</v>
      </c>
      <c r="C131" s="23" t="s">
        <v>42</v>
      </c>
      <c r="D131" s="17" t="s">
        <v>26</v>
      </c>
      <c r="E131" s="23" t="s">
        <v>18</v>
      </c>
      <c r="F131" s="23" t="s">
        <v>44</v>
      </c>
      <c r="G131" s="17" t="s">
        <v>60</v>
      </c>
      <c r="H131" s="23" t="s">
        <v>155</v>
      </c>
      <c r="I131" s="23" t="s">
        <v>22</v>
      </c>
      <c r="J131" s="24">
        <v>2</v>
      </c>
      <c r="K131" s="25">
        <v>9000</v>
      </c>
      <c r="L131" s="26">
        <v>0</v>
      </c>
      <c r="M131" s="19">
        <f t="shared" si="8"/>
        <v>18000</v>
      </c>
      <c r="N131" s="25">
        <v>18000</v>
      </c>
      <c r="O131" s="4">
        <v>3500</v>
      </c>
      <c r="P131" s="27" t="s">
        <v>23</v>
      </c>
      <c r="Q131" s="17" t="s">
        <v>31</v>
      </c>
      <c r="R131" t="str">
        <f t="shared" si="9"/>
        <v>OK</v>
      </c>
      <c r="S131" s="2">
        <f t="shared" si="10"/>
        <v>1</v>
      </c>
      <c r="T131" s="35">
        <f t="shared" ref="T131:T194" si="11">M131-(O131*J131)</f>
        <v>11000</v>
      </c>
    </row>
    <row r="132" spans="1:20" x14ac:dyDescent="0.25">
      <c r="A132" s="14">
        <v>100131</v>
      </c>
      <c r="B132" s="15">
        <v>46090</v>
      </c>
      <c r="C132" s="16" t="s">
        <v>42</v>
      </c>
      <c r="D132" s="17" t="s">
        <v>26</v>
      </c>
      <c r="E132" s="16" t="s">
        <v>18</v>
      </c>
      <c r="F132" s="16" t="s">
        <v>19</v>
      </c>
      <c r="G132" s="17" t="s">
        <v>52</v>
      </c>
      <c r="H132" s="16" t="s">
        <v>156</v>
      </c>
      <c r="I132" s="16" t="s">
        <v>22</v>
      </c>
      <c r="J132" s="18">
        <v>1</v>
      </c>
      <c r="K132" s="19">
        <v>42000</v>
      </c>
      <c r="L132" s="20">
        <v>0</v>
      </c>
      <c r="M132" s="19">
        <f t="shared" si="8"/>
        <v>42000</v>
      </c>
      <c r="N132" s="19">
        <v>42000</v>
      </c>
      <c r="O132" s="4">
        <v>28000</v>
      </c>
      <c r="P132" s="17" t="s">
        <v>23</v>
      </c>
      <c r="Q132" s="17" t="s">
        <v>58</v>
      </c>
      <c r="R132" t="str">
        <f t="shared" si="9"/>
        <v>OK</v>
      </c>
      <c r="S132" s="2">
        <f t="shared" si="10"/>
        <v>1</v>
      </c>
      <c r="T132" s="35">
        <f t="shared" si="11"/>
        <v>14000</v>
      </c>
    </row>
    <row r="133" spans="1:20" x14ac:dyDescent="0.25">
      <c r="A133" s="21">
        <v>100132</v>
      </c>
      <c r="B133" s="22">
        <v>46258</v>
      </c>
      <c r="C133" s="23" t="s">
        <v>55</v>
      </c>
      <c r="D133" s="17" t="s">
        <v>56</v>
      </c>
      <c r="E133" s="23" t="s">
        <v>43</v>
      </c>
      <c r="F133" s="23" t="s">
        <v>27</v>
      </c>
      <c r="G133" s="17" t="s">
        <v>38</v>
      </c>
      <c r="H133" s="23" t="s">
        <v>157</v>
      </c>
      <c r="I133" s="23" t="s">
        <v>30</v>
      </c>
      <c r="J133" s="24">
        <v>4</v>
      </c>
      <c r="K133" s="25">
        <v>26000</v>
      </c>
      <c r="L133" s="26">
        <v>0</v>
      </c>
      <c r="M133" s="19">
        <f t="shared" si="8"/>
        <v>104000</v>
      </c>
      <c r="N133" s="25">
        <v>104000</v>
      </c>
      <c r="O133" s="4">
        <v>15000</v>
      </c>
      <c r="P133" s="27" t="s">
        <v>23</v>
      </c>
      <c r="Q133" s="17" t="s">
        <v>84</v>
      </c>
      <c r="R133" t="str">
        <f t="shared" si="9"/>
        <v>OK</v>
      </c>
      <c r="S133" s="2">
        <f t="shared" si="10"/>
        <v>1</v>
      </c>
      <c r="T133" s="35">
        <f t="shared" si="11"/>
        <v>44000</v>
      </c>
    </row>
    <row r="134" spans="1:20" x14ac:dyDescent="0.25">
      <c r="A134" s="14">
        <v>100133</v>
      </c>
      <c r="B134" s="15">
        <v>46202</v>
      </c>
      <c r="C134" s="16" t="s">
        <v>35</v>
      </c>
      <c r="D134" s="17" t="s">
        <v>36</v>
      </c>
      <c r="E134" s="16" t="s">
        <v>43</v>
      </c>
      <c r="F134" s="16" t="s">
        <v>19</v>
      </c>
      <c r="G134" s="17" t="s">
        <v>62</v>
      </c>
      <c r="H134" s="16" t="s">
        <v>57</v>
      </c>
      <c r="I134" s="16" t="s">
        <v>30</v>
      </c>
      <c r="J134" s="18">
        <v>1</v>
      </c>
      <c r="K134" s="19">
        <v>24000</v>
      </c>
      <c r="L134" s="20">
        <v>0</v>
      </c>
      <c r="M134" s="19">
        <f t="shared" si="8"/>
        <v>24000</v>
      </c>
      <c r="N134" s="19">
        <v>24000</v>
      </c>
      <c r="O134" s="4">
        <v>15000</v>
      </c>
      <c r="P134" s="17" t="s">
        <v>23</v>
      </c>
      <c r="Q134" s="17" t="s">
        <v>31</v>
      </c>
      <c r="R134" t="str">
        <f t="shared" si="9"/>
        <v>OK</v>
      </c>
      <c r="S134" s="2">
        <f t="shared" si="10"/>
        <v>1</v>
      </c>
      <c r="T134" s="35">
        <f t="shared" si="11"/>
        <v>9000</v>
      </c>
    </row>
    <row r="135" spans="1:20" x14ac:dyDescent="0.25">
      <c r="A135" s="21">
        <v>100134</v>
      </c>
      <c r="B135" s="22">
        <v>46145</v>
      </c>
      <c r="C135" s="23" t="s">
        <v>16</v>
      </c>
      <c r="D135" s="17" t="s">
        <v>17</v>
      </c>
      <c r="E135" s="23" t="s">
        <v>37</v>
      </c>
      <c r="F135" s="23" t="s">
        <v>19</v>
      </c>
      <c r="G135" s="17" t="s">
        <v>20</v>
      </c>
      <c r="H135" s="23" t="s">
        <v>158</v>
      </c>
      <c r="I135" s="23" t="s">
        <v>30</v>
      </c>
      <c r="J135" s="24">
        <v>3</v>
      </c>
      <c r="K135" s="25">
        <v>58000</v>
      </c>
      <c r="L135" s="26">
        <v>0.25</v>
      </c>
      <c r="M135" s="19">
        <f t="shared" si="8"/>
        <v>130500</v>
      </c>
      <c r="N135" s="25">
        <v>130500</v>
      </c>
      <c r="O135" s="4">
        <v>39000</v>
      </c>
      <c r="P135" s="27" t="s">
        <v>23</v>
      </c>
      <c r="Q135" s="17" t="s">
        <v>64</v>
      </c>
      <c r="R135" t="str">
        <f t="shared" si="9"/>
        <v>OK</v>
      </c>
      <c r="S135" s="2">
        <f t="shared" si="10"/>
        <v>1</v>
      </c>
      <c r="T135" s="35">
        <f t="shared" si="11"/>
        <v>13500</v>
      </c>
    </row>
    <row r="136" spans="1:20" x14ac:dyDescent="0.25">
      <c r="A136" s="14">
        <v>100135</v>
      </c>
      <c r="B136" s="15">
        <v>46121</v>
      </c>
      <c r="C136" s="16" t="s">
        <v>35</v>
      </c>
      <c r="D136" s="17" t="s">
        <v>36</v>
      </c>
      <c r="E136" s="16" t="s">
        <v>18</v>
      </c>
      <c r="F136" s="16" t="s">
        <v>19</v>
      </c>
      <c r="G136" s="17" t="s">
        <v>62</v>
      </c>
      <c r="H136" s="16" t="s">
        <v>159</v>
      </c>
      <c r="I136" s="16" t="s">
        <v>30</v>
      </c>
      <c r="J136" s="18">
        <v>1</v>
      </c>
      <c r="K136" s="19">
        <v>24000</v>
      </c>
      <c r="L136" s="20">
        <v>0.15</v>
      </c>
      <c r="M136" s="19">
        <f t="shared" si="8"/>
        <v>20400</v>
      </c>
      <c r="N136" s="19">
        <v>20400</v>
      </c>
      <c r="O136" s="4">
        <v>15000</v>
      </c>
      <c r="P136" s="17" t="s">
        <v>23</v>
      </c>
      <c r="Q136" s="17" t="s">
        <v>31</v>
      </c>
      <c r="R136" t="str">
        <f t="shared" si="9"/>
        <v>OK</v>
      </c>
      <c r="S136" s="2">
        <f t="shared" si="10"/>
        <v>1</v>
      </c>
      <c r="T136" s="35">
        <f t="shared" si="11"/>
        <v>5400</v>
      </c>
    </row>
    <row r="137" spans="1:20" x14ac:dyDescent="0.25">
      <c r="A137" s="21">
        <v>100136</v>
      </c>
      <c r="B137" s="22">
        <v>46062</v>
      </c>
      <c r="C137" s="23" t="s">
        <v>35</v>
      </c>
      <c r="D137" s="17" t="s">
        <v>36</v>
      </c>
      <c r="E137" s="23" t="s">
        <v>43</v>
      </c>
      <c r="F137" s="23" t="s">
        <v>27</v>
      </c>
      <c r="G137" s="17" t="s">
        <v>38</v>
      </c>
      <c r="H137" s="23" t="s">
        <v>160</v>
      </c>
      <c r="I137" s="23" t="s">
        <v>22</v>
      </c>
      <c r="J137" s="24">
        <v>2</v>
      </c>
      <c r="K137" s="25">
        <v>26000</v>
      </c>
      <c r="L137" s="26">
        <v>0.15</v>
      </c>
      <c r="M137" s="19">
        <f t="shared" si="8"/>
        <v>44200</v>
      </c>
      <c r="N137" s="25">
        <v>44200</v>
      </c>
      <c r="O137" s="4">
        <v>15000</v>
      </c>
      <c r="P137" s="27" t="s">
        <v>23</v>
      </c>
      <c r="Q137" s="17" t="s">
        <v>54</v>
      </c>
      <c r="R137" t="str">
        <f t="shared" si="9"/>
        <v>OK</v>
      </c>
      <c r="S137" s="2">
        <f t="shared" si="10"/>
        <v>1</v>
      </c>
      <c r="T137" s="35">
        <f t="shared" si="11"/>
        <v>14200</v>
      </c>
    </row>
    <row r="138" spans="1:20" x14ac:dyDescent="0.25">
      <c r="A138" s="14">
        <v>100137</v>
      </c>
      <c r="B138" s="15">
        <v>46151</v>
      </c>
      <c r="C138" s="16" t="s">
        <v>25</v>
      </c>
      <c r="D138" s="17" t="s">
        <v>26</v>
      </c>
      <c r="E138" s="16" t="s">
        <v>37</v>
      </c>
      <c r="F138" s="16" t="s">
        <v>19</v>
      </c>
      <c r="G138" s="17" t="s">
        <v>52</v>
      </c>
      <c r="H138" s="16" t="s">
        <v>161</v>
      </c>
      <c r="I138" s="16" t="s">
        <v>30</v>
      </c>
      <c r="J138" s="18">
        <v>2</v>
      </c>
      <c r="K138" s="19">
        <v>42000</v>
      </c>
      <c r="L138" s="20">
        <v>0</v>
      </c>
      <c r="M138" s="19">
        <f t="shared" si="8"/>
        <v>84000</v>
      </c>
      <c r="N138" s="19">
        <v>84000</v>
      </c>
      <c r="O138" s="4">
        <v>28000</v>
      </c>
      <c r="P138" s="17" t="s">
        <v>23</v>
      </c>
      <c r="Q138" s="17" t="s">
        <v>58</v>
      </c>
      <c r="R138" t="str">
        <f t="shared" si="9"/>
        <v>OK</v>
      </c>
      <c r="S138" s="2">
        <f t="shared" si="10"/>
        <v>1</v>
      </c>
      <c r="T138" s="35">
        <f t="shared" si="11"/>
        <v>28000</v>
      </c>
    </row>
    <row r="139" spans="1:20" x14ac:dyDescent="0.25">
      <c r="A139" s="21">
        <v>100138</v>
      </c>
      <c r="B139" s="22">
        <v>46137</v>
      </c>
      <c r="C139" s="23" t="s">
        <v>50</v>
      </c>
      <c r="D139" s="17" t="s">
        <v>51</v>
      </c>
      <c r="E139" s="23" t="s">
        <v>43</v>
      </c>
      <c r="F139" s="23" t="s">
        <v>27</v>
      </c>
      <c r="G139" s="17" t="s">
        <v>33</v>
      </c>
      <c r="H139" s="23" t="s">
        <v>46</v>
      </c>
      <c r="I139" s="23" t="s">
        <v>30</v>
      </c>
      <c r="J139" s="24">
        <v>4</v>
      </c>
      <c r="K139" s="25">
        <v>32000</v>
      </c>
      <c r="L139" s="26">
        <v>0</v>
      </c>
      <c r="M139" s="19">
        <f t="shared" si="8"/>
        <v>128000</v>
      </c>
      <c r="N139" s="25">
        <v>128000</v>
      </c>
      <c r="O139" s="4">
        <v>19000</v>
      </c>
      <c r="P139" s="27" t="s">
        <v>23</v>
      </c>
      <c r="Q139" s="17" t="s">
        <v>54</v>
      </c>
      <c r="R139" t="str">
        <f t="shared" si="9"/>
        <v>OK</v>
      </c>
      <c r="S139" s="2">
        <f t="shared" si="10"/>
        <v>1</v>
      </c>
      <c r="T139" s="35">
        <f t="shared" si="11"/>
        <v>52000</v>
      </c>
    </row>
    <row r="140" spans="1:20" x14ac:dyDescent="0.25">
      <c r="A140" s="14">
        <v>100139</v>
      </c>
      <c r="B140" s="15">
        <v>46056</v>
      </c>
      <c r="C140" s="16" t="s">
        <v>25</v>
      </c>
      <c r="D140" s="17" t="s">
        <v>26</v>
      </c>
      <c r="E140" s="16" t="s">
        <v>43</v>
      </c>
      <c r="F140" s="16" t="s">
        <v>44</v>
      </c>
      <c r="G140" s="17" t="s">
        <v>65</v>
      </c>
      <c r="H140" s="16" t="s">
        <v>162</v>
      </c>
      <c r="I140" s="16" t="s">
        <v>22</v>
      </c>
      <c r="J140" s="18">
        <v>3</v>
      </c>
      <c r="K140" s="19">
        <v>28000</v>
      </c>
      <c r="L140" s="20">
        <v>0.05</v>
      </c>
      <c r="M140" s="19">
        <f t="shared" si="8"/>
        <v>79800</v>
      </c>
      <c r="N140" s="19">
        <v>79800</v>
      </c>
      <c r="O140" s="4">
        <v>16000</v>
      </c>
      <c r="P140" s="17" t="s">
        <v>23</v>
      </c>
      <c r="Q140" s="17" t="s">
        <v>47</v>
      </c>
      <c r="R140" t="str">
        <f t="shared" si="9"/>
        <v>OK</v>
      </c>
      <c r="S140" s="2">
        <f t="shared" si="10"/>
        <v>1</v>
      </c>
      <c r="T140" s="35">
        <f t="shared" si="11"/>
        <v>31800</v>
      </c>
    </row>
    <row r="141" spans="1:20" x14ac:dyDescent="0.25">
      <c r="A141" s="21">
        <v>100140</v>
      </c>
      <c r="B141" s="22">
        <v>46100</v>
      </c>
      <c r="C141" s="23" t="s">
        <v>42</v>
      </c>
      <c r="D141" s="17" t="s">
        <v>26</v>
      </c>
      <c r="E141" s="23" t="s">
        <v>43</v>
      </c>
      <c r="F141" s="23" t="s">
        <v>44</v>
      </c>
      <c r="G141" s="17" t="s">
        <v>241</v>
      </c>
      <c r="H141" s="23" t="s">
        <v>143</v>
      </c>
      <c r="I141" s="23" t="s">
        <v>30</v>
      </c>
      <c r="J141" s="24">
        <v>2</v>
      </c>
      <c r="K141" s="25">
        <v>6500</v>
      </c>
      <c r="L141" s="26">
        <v>0.15</v>
      </c>
      <c r="M141" s="19">
        <f t="shared" si="8"/>
        <v>11050</v>
      </c>
      <c r="N141" s="25">
        <v>11050</v>
      </c>
      <c r="O141" s="4">
        <v>2200</v>
      </c>
      <c r="P141" s="27" t="s">
        <v>23</v>
      </c>
      <c r="Q141" s="17" t="s">
        <v>64</v>
      </c>
      <c r="R141" t="str">
        <f t="shared" si="9"/>
        <v>OK</v>
      </c>
      <c r="S141" s="2">
        <f t="shared" si="10"/>
        <v>1</v>
      </c>
      <c r="T141" s="35">
        <f t="shared" si="11"/>
        <v>6650</v>
      </c>
    </row>
    <row r="142" spans="1:20" x14ac:dyDescent="0.25">
      <c r="A142" s="14">
        <v>100141</v>
      </c>
      <c r="B142" s="15">
        <v>46043</v>
      </c>
      <c r="C142" s="16" t="s">
        <v>42</v>
      </c>
      <c r="D142" s="17" t="s">
        <v>26</v>
      </c>
      <c r="E142" s="16" t="s">
        <v>43</v>
      </c>
      <c r="F142" s="16" t="s">
        <v>19</v>
      </c>
      <c r="G142" s="17" t="s">
        <v>52</v>
      </c>
      <c r="H142" s="16" t="s">
        <v>98</v>
      </c>
      <c r="I142" s="16" t="s">
        <v>30</v>
      </c>
      <c r="J142" s="18">
        <v>18</v>
      </c>
      <c r="K142" s="19">
        <v>42000</v>
      </c>
      <c r="L142" s="20">
        <v>0</v>
      </c>
      <c r="M142" s="19">
        <f t="shared" si="8"/>
        <v>756000</v>
      </c>
      <c r="N142" s="19">
        <v>756000</v>
      </c>
      <c r="O142" s="4">
        <v>28000</v>
      </c>
      <c r="P142" s="17" t="s">
        <v>23</v>
      </c>
      <c r="Q142" s="17" t="s">
        <v>64</v>
      </c>
      <c r="R142" t="str">
        <f t="shared" si="9"/>
        <v>OK</v>
      </c>
      <c r="S142" s="2">
        <f t="shared" si="10"/>
        <v>1</v>
      </c>
      <c r="T142" s="35">
        <f t="shared" si="11"/>
        <v>252000</v>
      </c>
    </row>
    <row r="143" spans="1:20" x14ac:dyDescent="0.25">
      <c r="A143" s="21">
        <v>100142</v>
      </c>
      <c r="B143" s="22">
        <v>46129</v>
      </c>
      <c r="C143" s="23" t="s">
        <v>50</v>
      </c>
      <c r="D143" s="17" t="s">
        <v>51</v>
      </c>
      <c r="E143" s="23" t="s">
        <v>37</v>
      </c>
      <c r="F143" s="23" t="s">
        <v>27</v>
      </c>
      <c r="G143" s="17" t="s">
        <v>33</v>
      </c>
      <c r="H143" s="23" t="s">
        <v>163</v>
      </c>
      <c r="I143" s="23" t="s">
        <v>22</v>
      </c>
      <c r="J143" s="24">
        <v>1</v>
      </c>
      <c r="K143" s="25">
        <v>32000</v>
      </c>
      <c r="L143" s="26">
        <v>0</v>
      </c>
      <c r="M143" s="19">
        <f t="shared" si="8"/>
        <v>32000</v>
      </c>
      <c r="N143" s="25">
        <v>32000</v>
      </c>
      <c r="O143" s="4">
        <v>19000</v>
      </c>
      <c r="P143" s="27" t="s">
        <v>23</v>
      </c>
      <c r="Q143" s="17" t="s">
        <v>31</v>
      </c>
      <c r="R143" t="str">
        <f t="shared" si="9"/>
        <v>OK</v>
      </c>
      <c r="S143" s="2">
        <f t="shared" si="10"/>
        <v>1</v>
      </c>
      <c r="T143" s="35">
        <f t="shared" si="11"/>
        <v>13000</v>
      </c>
    </row>
    <row r="144" spans="1:20" x14ac:dyDescent="0.25">
      <c r="A144" s="14">
        <v>100143</v>
      </c>
      <c r="B144" s="15">
        <v>46187</v>
      </c>
      <c r="C144" s="16" t="s">
        <v>42</v>
      </c>
      <c r="D144" s="17" t="s">
        <v>26</v>
      </c>
      <c r="E144" s="16" t="s">
        <v>43</v>
      </c>
      <c r="F144" s="16" t="s">
        <v>27</v>
      </c>
      <c r="G144" s="17" t="s">
        <v>28</v>
      </c>
      <c r="H144" s="16" t="s">
        <v>77</v>
      </c>
      <c r="I144" s="16" t="s">
        <v>30</v>
      </c>
      <c r="J144" s="18">
        <v>2</v>
      </c>
      <c r="K144" s="19">
        <v>165000</v>
      </c>
      <c r="L144" s="20">
        <v>0</v>
      </c>
      <c r="M144" s="19">
        <f t="shared" si="8"/>
        <v>330000</v>
      </c>
      <c r="N144" s="19">
        <v>330000</v>
      </c>
      <c r="O144" s="4">
        <v>112000</v>
      </c>
      <c r="P144" s="17" t="s">
        <v>23</v>
      </c>
      <c r="Q144" s="17" t="s">
        <v>64</v>
      </c>
      <c r="R144" t="str">
        <f t="shared" si="9"/>
        <v>OK</v>
      </c>
      <c r="S144" s="2">
        <f t="shared" si="10"/>
        <v>1</v>
      </c>
      <c r="T144" s="35">
        <f t="shared" si="11"/>
        <v>106000</v>
      </c>
    </row>
    <row r="145" spans="1:20" x14ac:dyDescent="0.25">
      <c r="A145" s="21">
        <v>100144</v>
      </c>
      <c r="B145" s="22">
        <v>46132</v>
      </c>
      <c r="C145" s="23" t="s">
        <v>50</v>
      </c>
      <c r="D145" s="17" t="s">
        <v>51</v>
      </c>
      <c r="E145" s="23" t="s">
        <v>18</v>
      </c>
      <c r="F145" s="23" t="s">
        <v>27</v>
      </c>
      <c r="G145" s="17" t="s">
        <v>33</v>
      </c>
      <c r="H145" s="23" t="s">
        <v>164</v>
      </c>
      <c r="I145" s="23" t="s">
        <v>22</v>
      </c>
      <c r="J145" s="24">
        <v>2</v>
      </c>
      <c r="K145" s="25">
        <v>32000</v>
      </c>
      <c r="L145" s="26">
        <v>0.15</v>
      </c>
      <c r="M145" s="19">
        <f t="shared" si="8"/>
        <v>54400</v>
      </c>
      <c r="N145" s="25">
        <v>54400</v>
      </c>
      <c r="O145" s="4">
        <v>19000</v>
      </c>
      <c r="P145" s="27" t="s">
        <v>76</v>
      </c>
      <c r="Q145" s="17" t="s">
        <v>40</v>
      </c>
      <c r="R145" t="str">
        <f t="shared" si="9"/>
        <v>OK</v>
      </c>
      <c r="S145" s="2">
        <f t="shared" si="10"/>
        <v>1</v>
      </c>
      <c r="T145" s="35">
        <f t="shared" si="11"/>
        <v>16400</v>
      </c>
    </row>
    <row r="146" spans="1:20" x14ac:dyDescent="0.25">
      <c r="A146" s="14">
        <v>100145</v>
      </c>
      <c r="B146" s="15">
        <v>46141</v>
      </c>
      <c r="C146" s="16" t="s">
        <v>50</v>
      </c>
      <c r="D146" s="17" t="s">
        <v>51</v>
      </c>
      <c r="E146" s="16" t="s">
        <v>43</v>
      </c>
      <c r="F146" s="16" t="s">
        <v>44</v>
      </c>
      <c r="G146" s="17" t="s">
        <v>65</v>
      </c>
      <c r="H146" s="16" t="s">
        <v>119</v>
      </c>
      <c r="I146" s="16" t="s">
        <v>22</v>
      </c>
      <c r="J146" s="18">
        <v>1</v>
      </c>
      <c r="K146" s="19">
        <v>28000</v>
      </c>
      <c r="L146" s="20">
        <v>0</v>
      </c>
      <c r="M146" s="19">
        <f t="shared" si="8"/>
        <v>28000</v>
      </c>
      <c r="N146" s="19">
        <v>28000</v>
      </c>
      <c r="O146" s="4">
        <v>16000</v>
      </c>
      <c r="P146" s="17" t="s">
        <v>23</v>
      </c>
      <c r="Q146" s="17" t="s">
        <v>24</v>
      </c>
      <c r="R146" t="str">
        <f t="shared" si="9"/>
        <v>OK</v>
      </c>
      <c r="S146" s="2">
        <f t="shared" si="10"/>
        <v>1</v>
      </c>
      <c r="T146" s="35">
        <f t="shared" si="11"/>
        <v>12000</v>
      </c>
    </row>
    <row r="147" spans="1:20" x14ac:dyDescent="0.25">
      <c r="A147" s="21">
        <v>100146</v>
      </c>
      <c r="B147" s="22">
        <v>46108</v>
      </c>
      <c r="C147" s="23" t="s">
        <v>35</v>
      </c>
      <c r="D147" s="17" t="s">
        <v>36</v>
      </c>
      <c r="E147" s="23" t="s">
        <v>37</v>
      </c>
      <c r="F147" s="23" t="s">
        <v>27</v>
      </c>
      <c r="G147" s="17" t="s">
        <v>33</v>
      </c>
      <c r="H147" s="23" t="s">
        <v>134</v>
      </c>
      <c r="I147" s="23" t="s">
        <v>30</v>
      </c>
      <c r="J147" s="24">
        <v>1</v>
      </c>
      <c r="K147" s="25">
        <v>32000</v>
      </c>
      <c r="L147" s="26">
        <v>0.1</v>
      </c>
      <c r="M147" s="19">
        <f t="shared" si="8"/>
        <v>28800</v>
      </c>
      <c r="N147" s="25">
        <v>28800</v>
      </c>
      <c r="O147" s="4">
        <v>19000</v>
      </c>
      <c r="P147" s="27" t="s">
        <v>23</v>
      </c>
      <c r="Q147" s="17" t="s">
        <v>64</v>
      </c>
      <c r="R147" t="str">
        <f t="shared" si="9"/>
        <v>OK</v>
      </c>
      <c r="S147" s="2">
        <f t="shared" si="10"/>
        <v>1</v>
      </c>
      <c r="T147" s="35">
        <f t="shared" si="11"/>
        <v>9800</v>
      </c>
    </row>
    <row r="148" spans="1:20" x14ac:dyDescent="0.25">
      <c r="A148" s="14">
        <v>100147</v>
      </c>
      <c r="B148" s="15">
        <v>46127</v>
      </c>
      <c r="C148" s="16" t="s">
        <v>55</v>
      </c>
      <c r="D148" s="17" t="s">
        <v>56</v>
      </c>
      <c r="E148" s="16" t="s">
        <v>43</v>
      </c>
      <c r="F148" s="16" t="s">
        <v>19</v>
      </c>
      <c r="G148" s="17" t="s">
        <v>52</v>
      </c>
      <c r="H148" s="16" t="s">
        <v>165</v>
      </c>
      <c r="I148" s="16" t="s">
        <v>22</v>
      </c>
      <c r="J148" s="18">
        <v>2</v>
      </c>
      <c r="K148" s="19">
        <v>42000</v>
      </c>
      <c r="L148" s="20">
        <v>0.05</v>
      </c>
      <c r="M148" s="19">
        <f t="shared" si="8"/>
        <v>79800</v>
      </c>
      <c r="N148" s="19">
        <v>79800</v>
      </c>
      <c r="O148" s="4">
        <v>28000</v>
      </c>
      <c r="P148" s="17" t="s">
        <v>23</v>
      </c>
      <c r="Q148" s="17" t="s">
        <v>24</v>
      </c>
      <c r="R148" t="str">
        <f t="shared" si="9"/>
        <v>OK</v>
      </c>
      <c r="S148" s="2">
        <f t="shared" si="10"/>
        <v>1</v>
      </c>
      <c r="T148" s="35">
        <f t="shared" si="11"/>
        <v>23800</v>
      </c>
    </row>
    <row r="149" spans="1:20" x14ac:dyDescent="0.25">
      <c r="A149" s="21">
        <v>100148</v>
      </c>
      <c r="B149" s="22">
        <v>46227</v>
      </c>
      <c r="C149" s="23" t="s">
        <v>55</v>
      </c>
      <c r="D149" s="17" t="s">
        <v>56</v>
      </c>
      <c r="E149" s="23" t="s">
        <v>37</v>
      </c>
      <c r="F149" s="23" t="s">
        <v>19</v>
      </c>
      <c r="G149" s="17" t="s">
        <v>62</v>
      </c>
      <c r="H149" s="23" t="s">
        <v>108</v>
      </c>
      <c r="I149" s="23" t="s">
        <v>30</v>
      </c>
      <c r="J149" s="24">
        <v>1</v>
      </c>
      <c r="K149" s="25">
        <v>24000</v>
      </c>
      <c r="L149" s="26">
        <v>0.05</v>
      </c>
      <c r="M149" s="19">
        <f t="shared" si="8"/>
        <v>22800</v>
      </c>
      <c r="N149" s="25">
        <v>22800</v>
      </c>
      <c r="O149" s="4">
        <v>15000</v>
      </c>
      <c r="P149" s="27" t="s">
        <v>23</v>
      </c>
      <c r="Q149" s="17" t="s">
        <v>24</v>
      </c>
      <c r="R149" t="str">
        <f t="shared" si="9"/>
        <v>OK</v>
      </c>
      <c r="S149" s="2">
        <f t="shared" si="10"/>
        <v>1</v>
      </c>
      <c r="T149" s="35">
        <f t="shared" si="11"/>
        <v>7800</v>
      </c>
    </row>
    <row r="150" spans="1:20" x14ac:dyDescent="0.25">
      <c r="A150" s="14">
        <v>100149</v>
      </c>
      <c r="B150" s="15">
        <v>46038</v>
      </c>
      <c r="C150" s="16" t="s">
        <v>42</v>
      </c>
      <c r="D150" s="17" t="s">
        <v>26</v>
      </c>
      <c r="E150" s="16" t="s">
        <v>43</v>
      </c>
      <c r="F150" s="16" t="s">
        <v>44</v>
      </c>
      <c r="G150" s="17" t="s">
        <v>60</v>
      </c>
      <c r="H150" s="16" t="s">
        <v>133</v>
      </c>
      <c r="I150" s="16" t="s">
        <v>30</v>
      </c>
      <c r="J150" s="18">
        <v>4</v>
      </c>
      <c r="K150" s="19">
        <v>9000</v>
      </c>
      <c r="L150" s="20">
        <v>0.05</v>
      </c>
      <c r="M150" s="19">
        <f t="shared" si="8"/>
        <v>34200</v>
      </c>
      <c r="N150" s="19">
        <v>34200</v>
      </c>
      <c r="O150" s="4">
        <v>3500</v>
      </c>
      <c r="P150" s="17" t="s">
        <v>23</v>
      </c>
      <c r="Q150" s="17" t="s">
        <v>40</v>
      </c>
      <c r="R150" t="str">
        <f t="shared" si="9"/>
        <v>OK</v>
      </c>
      <c r="S150" s="2">
        <f t="shared" si="10"/>
        <v>1</v>
      </c>
      <c r="T150" s="35">
        <f t="shared" si="11"/>
        <v>20200</v>
      </c>
    </row>
    <row r="151" spans="1:20" x14ac:dyDescent="0.25">
      <c r="A151" s="21">
        <v>100150</v>
      </c>
      <c r="B151" s="22">
        <v>46032</v>
      </c>
      <c r="C151" s="23" t="s">
        <v>50</v>
      </c>
      <c r="D151" s="17" t="s">
        <v>51</v>
      </c>
      <c r="E151" s="23" t="s">
        <v>37</v>
      </c>
      <c r="F151" s="23" t="s">
        <v>27</v>
      </c>
      <c r="G151" s="17" t="s">
        <v>38</v>
      </c>
      <c r="H151" s="23" t="s">
        <v>91</v>
      </c>
      <c r="I151" s="23" t="s">
        <v>30</v>
      </c>
      <c r="J151" s="24">
        <v>1</v>
      </c>
      <c r="K151" s="25">
        <v>26000</v>
      </c>
      <c r="L151" s="26">
        <v>0.1</v>
      </c>
      <c r="M151" s="19">
        <f t="shared" si="8"/>
        <v>23400</v>
      </c>
      <c r="N151" s="25">
        <v>23400</v>
      </c>
      <c r="O151" s="4">
        <v>15000</v>
      </c>
      <c r="P151" s="27" t="s">
        <v>23</v>
      </c>
      <c r="Q151" s="17" t="s">
        <v>40</v>
      </c>
      <c r="R151" t="str">
        <f t="shared" si="9"/>
        <v>OK</v>
      </c>
      <c r="S151" s="2">
        <f t="shared" si="10"/>
        <v>1</v>
      </c>
      <c r="T151" s="35">
        <f t="shared" si="11"/>
        <v>8400</v>
      </c>
    </row>
    <row r="152" spans="1:20" x14ac:dyDescent="0.25">
      <c r="A152" s="14">
        <v>100151</v>
      </c>
      <c r="B152" s="15">
        <v>46059</v>
      </c>
      <c r="C152" s="16" t="s">
        <v>35</v>
      </c>
      <c r="D152" s="17" t="s">
        <v>36</v>
      </c>
      <c r="E152" s="16" t="s">
        <v>37</v>
      </c>
      <c r="F152" s="16" t="s">
        <v>27</v>
      </c>
      <c r="G152" s="17" t="s">
        <v>28</v>
      </c>
      <c r="H152" s="16" t="s">
        <v>166</v>
      </c>
      <c r="I152" s="16" t="s">
        <v>22</v>
      </c>
      <c r="J152" s="18">
        <v>1</v>
      </c>
      <c r="K152" s="19">
        <v>165000</v>
      </c>
      <c r="L152" s="20">
        <v>0.15</v>
      </c>
      <c r="M152" s="19">
        <f t="shared" si="8"/>
        <v>140250</v>
      </c>
      <c r="N152" s="19">
        <v>140250</v>
      </c>
      <c r="O152" s="4">
        <v>112000</v>
      </c>
      <c r="P152" s="17" t="s">
        <v>23</v>
      </c>
      <c r="Q152" s="17" t="s">
        <v>24</v>
      </c>
      <c r="R152" t="str">
        <f t="shared" si="9"/>
        <v>OK</v>
      </c>
      <c r="S152" s="2">
        <f t="shared" si="10"/>
        <v>1</v>
      </c>
      <c r="T152" s="35">
        <f t="shared" si="11"/>
        <v>28250</v>
      </c>
    </row>
    <row r="153" spans="1:20" x14ac:dyDescent="0.25">
      <c r="A153" s="21">
        <v>100152</v>
      </c>
      <c r="B153" s="22">
        <v>46052</v>
      </c>
      <c r="C153" s="23" t="s">
        <v>42</v>
      </c>
      <c r="D153" s="17" t="s">
        <v>26</v>
      </c>
      <c r="E153" s="23" t="s">
        <v>18</v>
      </c>
      <c r="F153" s="23" t="s">
        <v>44</v>
      </c>
      <c r="G153" s="17" t="s">
        <v>241</v>
      </c>
      <c r="H153" s="23" t="s">
        <v>157</v>
      </c>
      <c r="I153" s="23" t="s">
        <v>30</v>
      </c>
      <c r="J153" s="24">
        <v>1</v>
      </c>
      <c r="K153" s="25">
        <v>6500</v>
      </c>
      <c r="L153" s="26">
        <v>0</v>
      </c>
      <c r="M153" s="19">
        <f t="shared" si="8"/>
        <v>6500</v>
      </c>
      <c r="N153" s="25">
        <v>6500</v>
      </c>
      <c r="O153" s="4">
        <v>2200</v>
      </c>
      <c r="P153" s="27" t="s">
        <v>23</v>
      </c>
      <c r="Q153" s="17" t="s">
        <v>64</v>
      </c>
      <c r="R153" t="str">
        <f t="shared" si="9"/>
        <v>OK</v>
      </c>
      <c r="S153" s="2">
        <f t="shared" si="10"/>
        <v>1</v>
      </c>
      <c r="T153" s="35">
        <f t="shared" si="11"/>
        <v>4300</v>
      </c>
    </row>
    <row r="154" spans="1:20" x14ac:dyDescent="0.25">
      <c r="A154" s="14">
        <v>100153</v>
      </c>
      <c r="B154" s="15">
        <v>46205</v>
      </c>
      <c r="C154" s="16" t="s">
        <v>16</v>
      </c>
      <c r="D154" s="17" t="s">
        <v>17</v>
      </c>
      <c r="E154" s="16" t="s">
        <v>18</v>
      </c>
      <c r="F154" s="16" t="s">
        <v>27</v>
      </c>
      <c r="G154" s="17" t="s">
        <v>33</v>
      </c>
      <c r="H154" s="16" t="s">
        <v>167</v>
      </c>
      <c r="I154" s="16" t="s">
        <v>30</v>
      </c>
      <c r="J154" s="18">
        <v>1</v>
      </c>
      <c r="K154" s="19">
        <v>32000</v>
      </c>
      <c r="L154" s="20">
        <v>0.25</v>
      </c>
      <c r="M154" s="19">
        <f t="shared" si="8"/>
        <v>24000</v>
      </c>
      <c r="N154" s="19">
        <v>24000</v>
      </c>
      <c r="O154" s="4">
        <v>19000</v>
      </c>
      <c r="P154" s="17" t="s">
        <v>23</v>
      </c>
      <c r="Q154" s="17" t="s">
        <v>54</v>
      </c>
      <c r="R154" t="str">
        <f t="shared" si="9"/>
        <v>OK</v>
      </c>
      <c r="S154" s="2">
        <f t="shared" si="10"/>
        <v>1</v>
      </c>
      <c r="T154" s="35">
        <f t="shared" si="11"/>
        <v>5000</v>
      </c>
    </row>
    <row r="155" spans="1:20" x14ac:dyDescent="0.25">
      <c r="A155" s="21">
        <v>100154</v>
      </c>
      <c r="B155" s="22">
        <v>46068</v>
      </c>
      <c r="C155" s="23" t="s">
        <v>50</v>
      </c>
      <c r="D155" s="17" t="s">
        <v>51</v>
      </c>
      <c r="E155" s="23" t="s">
        <v>43</v>
      </c>
      <c r="F155" s="23" t="s">
        <v>27</v>
      </c>
      <c r="G155" s="17" t="s">
        <v>33</v>
      </c>
      <c r="H155" s="23" t="s">
        <v>118</v>
      </c>
      <c r="I155" s="23" t="s">
        <v>22</v>
      </c>
      <c r="J155" s="24">
        <v>1</v>
      </c>
      <c r="K155" s="25">
        <v>32000</v>
      </c>
      <c r="L155" s="26">
        <v>0</v>
      </c>
      <c r="M155" s="19">
        <f t="shared" si="8"/>
        <v>32000</v>
      </c>
      <c r="N155" s="25">
        <v>32000</v>
      </c>
      <c r="O155" s="4">
        <v>19000</v>
      </c>
      <c r="P155" s="27" t="s">
        <v>23</v>
      </c>
      <c r="Q155" s="17" t="s">
        <v>54</v>
      </c>
      <c r="R155" t="str">
        <f t="shared" si="9"/>
        <v>OK</v>
      </c>
      <c r="S155" s="2">
        <f t="shared" si="10"/>
        <v>1</v>
      </c>
      <c r="T155" s="35">
        <f t="shared" si="11"/>
        <v>13000</v>
      </c>
    </row>
    <row r="156" spans="1:20" x14ac:dyDescent="0.25">
      <c r="A156" s="14">
        <v>100155</v>
      </c>
      <c r="B156" s="15">
        <v>46198</v>
      </c>
      <c r="C156" s="16" t="s">
        <v>42</v>
      </c>
      <c r="D156" s="17" t="s">
        <v>26</v>
      </c>
      <c r="E156" s="16" t="s">
        <v>43</v>
      </c>
      <c r="F156" s="16" t="s">
        <v>44</v>
      </c>
      <c r="G156" s="17" t="s">
        <v>65</v>
      </c>
      <c r="H156" s="16" t="s">
        <v>102</v>
      </c>
      <c r="I156" s="16" t="s">
        <v>22</v>
      </c>
      <c r="J156" s="18">
        <v>5</v>
      </c>
      <c r="K156" s="19">
        <v>28000</v>
      </c>
      <c r="L156" s="20">
        <v>0.15</v>
      </c>
      <c r="M156" s="19">
        <f t="shared" si="8"/>
        <v>119000</v>
      </c>
      <c r="N156" s="19">
        <v>119000</v>
      </c>
      <c r="O156" s="4">
        <v>16000</v>
      </c>
      <c r="P156" s="17" t="s">
        <v>23</v>
      </c>
      <c r="Q156" s="17" t="s">
        <v>24</v>
      </c>
      <c r="R156" t="str">
        <f t="shared" si="9"/>
        <v>OK</v>
      </c>
      <c r="S156" s="2">
        <f t="shared" si="10"/>
        <v>1</v>
      </c>
      <c r="T156" s="35">
        <f t="shared" si="11"/>
        <v>39000</v>
      </c>
    </row>
    <row r="157" spans="1:20" x14ac:dyDescent="0.25">
      <c r="A157" s="21">
        <v>100156</v>
      </c>
      <c r="B157" s="22">
        <v>46215</v>
      </c>
      <c r="C157" s="23" t="s">
        <v>25</v>
      </c>
      <c r="D157" s="17" t="s">
        <v>26</v>
      </c>
      <c r="E157" s="23" t="s">
        <v>43</v>
      </c>
      <c r="F157" s="23" t="s">
        <v>27</v>
      </c>
      <c r="G157" s="17" t="s">
        <v>33</v>
      </c>
      <c r="H157" s="23" t="s">
        <v>74</v>
      </c>
      <c r="I157" s="23" t="s">
        <v>22</v>
      </c>
      <c r="J157" s="24">
        <v>1</v>
      </c>
      <c r="K157" s="25">
        <v>32000</v>
      </c>
      <c r="L157" s="26">
        <v>0</v>
      </c>
      <c r="M157" s="19">
        <f t="shared" si="8"/>
        <v>32000</v>
      </c>
      <c r="N157" s="25">
        <v>32000</v>
      </c>
      <c r="O157" s="4">
        <v>19000</v>
      </c>
      <c r="P157" s="27" t="s">
        <v>23</v>
      </c>
      <c r="Q157" s="17" t="s">
        <v>31</v>
      </c>
      <c r="R157" t="str">
        <f t="shared" si="9"/>
        <v>OK</v>
      </c>
      <c r="S157" s="2">
        <f t="shared" si="10"/>
        <v>1</v>
      </c>
      <c r="T157" s="35">
        <f t="shared" si="11"/>
        <v>13000</v>
      </c>
    </row>
    <row r="158" spans="1:20" x14ac:dyDescent="0.25">
      <c r="A158" s="14">
        <v>100157</v>
      </c>
      <c r="B158" s="15">
        <v>46108</v>
      </c>
      <c r="C158" s="16" t="s">
        <v>50</v>
      </c>
      <c r="D158" s="17" t="s">
        <v>51</v>
      </c>
      <c r="E158" s="16" t="s">
        <v>37</v>
      </c>
      <c r="F158" s="16" t="s">
        <v>27</v>
      </c>
      <c r="G158" s="17" t="s">
        <v>33</v>
      </c>
      <c r="H158" s="16" t="s">
        <v>168</v>
      </c>
      <c r="I158" s="16" t="s">
        <v>22</v>
      </c>
      <c r="J158" s="18">
        <v>1</v>
      </c>
      <c r="K158" s="19">
        <v>32000</v>
      </c>
      <c r="L158" s="20">
        <v>0.1</v>
      </c>
      <c r="M158" s="19">
        <f t="shared" si="8"/>
        <v>28800</v>
      </c>
      <c r="N158" s="19">
        <v>28800</v>
      </c>
      <c r="O158" s="4">
        <v>19000</v>
      </c>
      <c r="P158" s="17" t="s">
        <v>23</v>
      </c>
      <c r="Q158" s="17" t="s">
        <v>40</v>
      </c>
      <c r="R158" t="str">
        <f t="shared" si="9"/>
        <v>OK</v>
      </c>
      <c r="S158" s="2">
        <f t="shared" si="10"/>
        <v>1</v>
      </c>
      <c r="T158" s="35">
        <f t="shared" si="11"/>
        <v>9800</v>
      </c>
    </row>
    <row r="159" spans="1:20" x14ac:dyDescent="0.25">
      <c r="A159" s="21">
        <v>100158</v>
      </c>
      <c r="B159" s="22">
        <v>46179</v>
      </c>
      <c r="C159" s="23" t="s">
        <v>55</v>
      </c>
      <c r="D159" s="17" t="s">
        <v>56</v>
      </c>
      <c r="E159" s="23" t="s">
        <v>37</v>
      </c>
      <c r="F159" s="23" t="s">
        <v>44</v>
      </c>
      <c r="G159" s="17" t="s">
        <v>60</v>
      </c>
      <c r="H159" s="23" t="s">
        <v>169</v>
      </c>
      <c r="I159" s="23" t="s">
        <v>22</v>
      </c>
      <c r="J159" s="24">
        <v>2</v>
      </c>
      <c r="K159" s="25">
        <v>9000</v>
      </c>
      <c r="L159" s="26">
        <v>0.05</v>
      </c>
      <c r="M159" s="19">
        <f t="shared" si="8"/>
        <v>17100</v>
      </c>
      <c r="N159" s="25">
        <v>17100</v>
      </c>
      <c r="O159" s="4">
        <v>3500</v>
      </c>
      <c r="P159" s="27" t="s">
        <v>23</v>
      </c>
      <c r="Q159" s="17" t="s">
        <v>31</v>
      </c>
      <c r="R159" t="str">
        <f t="shared" si="9"/>
        <v>OK</v>
      </c>
      <c r="S159" s="2">
        <f t="shared" si="10"/>
        <v>1</v>
      </c>
      <c r="T159" s="35">
        <f t="shared" si="11"/>
        <v>10100</v>
      </c>
    </row>
    <row r="160" spans="1:20" x14ac:dyDescent="0.25">
      <c r="A160" s="14">
        <v>100159</v>
      </c>
      <c r="B160" s="15">
        <v>46204</v>
      </c>
      <c r="C160" s="16" t="s">
        <v>25</v>
      </c>
      <c r="D160" s="17" t="s">
        <v>26</v>
      </c>
      <c r="E160" s="16" t="s">
        <v>43</v>
      </c>
      <c r="F160" s="16" t="s">
        <v>19</v>
      </c>
      <c r="G160" s="17" t="s">
        <v>62</v>
      </c>
      <c r="H160" s="16" t="s">
        <v>73</v>
      </c>
      <c r="I160" s="16" t="s">
        <v>22</v>
      </c>
      <c r="J160" s="18">
        <v>1</v>
      </c>
      <c r="K160" s="19">
        <v>24000</v>
      </c>
      <c r="L160" s="20">
        <v>0</v>
      </c>
      <c r="M160" s="19">
        <f t="shared" si="8"/>
        <v>24000</v>
      </c>
      <c r="N160" s="19">
        <v>24000</v>
      </c>
      <c r="O160" s="4">
        <v>15000</v>
      </c>
      <c r="P160" s="17" t="s">
        <v>23</v>
      </c>
      <c r="Q160" s="17" t="s">
        <v>58</v>
      </c>
      <c r="R160" t="str">
        <f t="shared" si="9"/>
        <v>OK</v>
      </c>
      <c r="S160" s="2">
        <f t="shared" si="10"/>
        <v>1</v>
      </c>
      <c r="T160" s="35">
        <f t="shared" si="11"/>
        <v>9000</v>
      </c>
    </row>
    <row r="161" spans="1:20" x14ac:dyDescent="0.25">
      <c r="A161" s="21">
        <v>100160</v>
      </c>
      <c r="B161" s="22">
        <v>46076</v>
      </c>
      <c r="C161" s="23" t="s">
        <v>42</v>
      </c>
      <c r="D161" s="17" t="s">
        <v>26</v>
      </c>
      <c r="E161" s="23" t="s">
        <v>37</v>
      </c>
      <c r="F161" s="23" t="s">
        <v>19</v>
      </c>
      <c r="G161" s="17" t="s">
        <v>62</v>
      </c>
      <c r="H161" s="23" t="s">
        <v>170</v>
      </c>
      <c r="I161" s="23" t="s">
        <v>30</v>
      </c>
      <c r="J161" s="24">
        <v>1</v>
      </c>
      <c r="K161" s="25">
        <v>24000</v>
      </c>
      <c r="L161" s="26">
        <v>0</v>
      </c>
      <c r="M161" s="19">
        <f t="shared" si="8"/>
        <v>24000</v>
      </c>
      <c r="N161" s="25">
        <v>24000</v>
      </c>
      <c r="O161" s="4">
        <v>15000</v>
      </c>
      <c r="P161" s="27" t="s">
        <v>23</v>
      </c>
      <c r="Q161" s="17" t="s">
        <v>40</v>
      </c>
      <c r="R161" t="str">
        <f t="shared" si="9"/>
        <v>OK</v>
      </c>
      <c r="S161" s="2">
        <f t="shared" si="10"/>
        <v>1</v>
      </c>
      <c r="T161" s="35">
        <f t="shared" si="11"/>
        <v>9000</v>
      </c>
    </row>
    <row r="162" spans="1:20" x14ac:dyDescent="0.25">
      <c r="A162" s="14">
        <v>100161</v>
      </c>
      <c r="B162" s="15">
        <v>46230</v>
      </c>
      <c r="C162" s="16" t="s">
        <v>50</v>
      </c>
      <c r="D162" s="17" t="s">
        <v>51</v>
      </c>
      <c r="E162" s="16" t="s">
        <v>18</v>
      </c>
      <c r="F162" s="16" t="s">
        <v>19</v>
      </c>
      <c r="G162" s="17" t="s">
        <v>20</v>
      </c>
      <c r="H162" s="16" t="s">
        <v>171</v>
      </c>
      <c r="I162" s="16" t="s">
        <v>30</v>
      </c>
      <c r="J162" s="18">
        <v>3</v>
      </c>
      <c r="K162" s="19">
        <v>58000</v>
      </c>
      <c r="L162" s="20">
        <v>0</v>
      </c>
      <c r="M162" s="19">
        <f t="shared" si="8"/>
        <v>174000</v>
      </c>
      <c r="N162" s="19">
        <v>174000</v>
      </c>
      <c r="O162" s="4">
        <v>39000</v>
      </c>
      <c r="P162" s="17" t="s">
        <v>23</v>
      </c>
      <c r="Q162" s="17" t="s">
        <v>58</v>
      </c>
      <c r="R162" t="str">
        <f t="shared" si="9"/>
        <v>OK</v>
      </c>
      <c r="S162" s="2">
        <f t="shared" si="10"/>
        <v>1</v>
      </c>
      <c r="T162" s="35">
        <f t="shared" si="11"/>
        <v>57000</v>
      </c>
    </row>
    <row r="163" spans="1:20" x14ac:dyDescent="0.25">
      <c r="A163" s="21">
        <v>100162</v>
      </c>
      <c r="B163" s="22">
        <v>46129</v>
      </c>
      <c r="C163" s="23" t="s">
        <v>50</v>
      </c>
      <c r="D163" s="17" t="s">
        <v>51</v>
      </c>
      <c r="E163" s="23" t="s">
        <v>18</v>
      </c>
      <c r="F163" s="23" t="s">
        <v>44</v>
      </c>
      <c r="G163" s="17" t="s">
        <v>60</v>
      </c>
      <c r="H163" s="23" t="s">
        <v>172</v>
      </c>
      <c r="I163" s="23" t="s">
        <v>22</v>
      </c>
      <c r="J163" s="24">
        <v>1</v>
      </c>
      <c r="K163" s="25">
        <v>9000</v>
      </c>
      <c r="L163" s="26">
        <v>0</v>
      </c>
      <c r="M163" s="19">
        <f t="shared" si="8"/>
        <v>9000</v>
      </c>
      <c r="N163" s="25">
        <v>9000</v>
      </c>
      <c r="O163" s="4">
        <v>3500</v>
      </c>
      <c r="P163" s="27" t="s">
        <v>23</v>
      </c>
      <c r="Q163" s="17" t="s">
        <v>54</v>
      </c>
      <c r="R163" t="str">
        <f t="shared" si="9"/>
        <v>OK</v>
      </c>
      <c r="S163" s="2">
        <f t="shared" si="10"/>
        <v>1</v>
      </c>
      <c r="T163" s="35">
        <f t="shared" si="11"/>
        <v>5500</v>
      </c>
    </row>
    <row r="164" spans="1:20" x14ac:dyDescent="0.25">
      <c r="A164" s="14">
        <v>100163</v>
      </c>
      <c r="B164" s="15">
        <v>46199</v>
      </c>
      <c r="C164" s="16" t="s">
        <v>35</v>
      </c>
      <c r="D164" s="17" t="s">
        <v>36</v>
      </c>
      <c r="E164" s="16" t="s">
        <v>37</v>
      </c>
      <c r="F164" s="16" t="s">
        <v>27</v>
      </c>
      <c r="G164" s="17" t="s">
        <v>38</v>
      </c>
      <c r="H164" s="16" t="s">
        <v>173</v>
      </c>
      <c r="I164" s="16" t="s">
        <v>22</v>
      </c>
      <c r="J164" s="18">
        <v>5</v>
      </c>
      <c r="K164" s="19">
        <v>26000</v>
      </c>
      <c r="L164" s="20">
        <v>0.15</v>
      </c>
      <c r="M164" s="19">
        <f t="shared" si="8"/>
        <v>110500</v>
      </c>
      <c r="N164" s="19">
        <v>88400</v>
      </c>
      <c r="O164" s="4">
        <v>15000</v>
      </c>
      <c r="P164" s="17" t="s">
        <v>23</v>
      </c>
      <c r="Q164" s="17" t="s">
        <v>47</v>
      </c>
      <c r="R164" t="str">
        <f t="shared" si="9"/>
        <v>REVENUE MISMATCH</v>
      </c>
      <c r="S164" s="2">
        <f t="shared" si="10"/>
        <v>0.8</v>
      </c>
      <c r="T164" s="35">
        <f t="shared" si="11"/>
        <v>35500</v>
      </c>
    </row>
    <row r="165" spans="1:20" x14ac:dyDescent="0.25">
      <c r="A165" s="21">
        <v>100164</v>
      </c>
      <c r="B165" s="22">
        <v>46106</v>
      </c>
      <c r="C165" s="23" t="s">
        <v>35</v>
      </c>
      <c r="D165" s="17" t="s">
        <v>36</v>
      </c>
      <c r="E165" s="23" t="s">
        <v>37</v>
      </c>
      <c r="F165" s="23" t="s">
        <v>27</v>
      </c>
      <c r="G165" s="17" t="s">
        <v>28</v>
      </c>
      <c r="H165" s="23" t="s">
        <v>174</v>
      </c>
      <c r="I165" s="23" t="s">
        <v>30</v>
      </c>
      <c r="J165" s="24">
        <v>5</v>
      </c>
      <c r="K165" s="25">
        <v>165000</v>
      </c>
      <c r="L165" s="26">
        <v>0.05</v>
      </c>
      <c r="M165" s="19">
        <f t="shared" si="8"/>
        <v>783750</v>
      </c>
      <c r="N165" s="25">
        <v>783750</v>
      </c>
      <c r="O165" s="4">
        <v>112000</v>
      </c>
      <c r="P165" s="27" t="s">
        <v>23</v>
      </c>
      <c r="Q165" s="17" t="s">
        <v>24</v>
      </c>
      <c r="R165" t="str">
        <f t="shared" si="9"/>
        <v>OK</v>
      </c>
      <c r="S165" s="2">
        <f t="shared" si="10"/>
        <v>1</v>
      </c>
      <c r="T165" s="35">
        <f t="shared" si="11"/>
        <v>223750</v>
      </c>
    </row>
    <row r="166" spans="1:20" x14ac:dyDescent="0.25">
      <c r="A166" s="14">
        <v>100165</v>
      </c>
      <c r="B166" s="15">
        <v>46159</v>
      </c>
      <c r="C166" s="16" t="s">
        <v>25</v>
      </c>
      <c r="D166" s="17" t="s">
        <v>26</v>
      </c>
      <c r="E166" s="16" t="s">
        <v>37</v>
      </c>
      <c r="F166" s="16" t="s">
        <v>27</v>
      </c>
      <c r="G166" s="17" t="s">
        <v>28</v>
      </c>
      <c r="H166" s="16" t="s">
        <v>89</v>
      </c>
      <c r="I166" s="16" t="s">
        <v>30</v>
      </c>
      <c r="J166" s="18">
        <v>1</v>
      </c>
      <c r="K166" s="19">
        <v>165000</v>
      </c>
      <c r="L166" s="20">
        <v>0</v>
      </c>
      <c r="M166" s="19">
        <f t="shared" si="8"/>
        <v>165000</v>
      </c>
      <c r="N166" s="19">
        <v>165000</v>
      </c>
      <c r="O166" s="4">
        <v>112000</v>
      </c>
      <c r="P166" s="17" t="s">
        <v>23</v>
      </c>
      <c r="Q166" s="17" t="s">
        <v>54</v>
      </c>
      <c r="R166" t="str">
        <f t="shared" si="9"/>
        <v>OK</v>
      </c>
      <c r="S166" s="2">
        <f t="shared" si="10"/>
        <v>1</v>
      </c>
      <c r="T166" s="35">
        <f t="shared" si="11"/>
        <v>53000</v>
      </c>
    </row>
    <row r="167" spans="1:20" x14ac:dyDescent="0.25">
      <c r="A167" s="21">
        <v>100166</v>
      </c>
      <c r="B167" s="22">
        <v>46144</v>
      </c>
      <c r="C167" s="23" t="s">
        <v>25</v>
      </c>
      <c r="D167" s="17" t="s">
        <v>26</v>
      </c>
      <c r="E167" s="23" t="s">
        <v>37</v>
      </c>
      <c r="F167" s="23" t="s">
        <v>27</v>
      </c>
      <c r="G167" s="17" t="s">
        <v>33</v>
      </c>
      <c r="H167" s="23" t="s">
        <v>175</v>
      </c>
      <c r="I167" s="23" t="s">
        <v>30</v>
      </c>
      <c r="J167" s="24">
        <v>3</v>
      </c>
      <c r="K167" s="25">
        <v>32000</v>
      </c>
      <c r="L167" s="26">
        <v>0.05</v>
      </c>
      <c r="M167" s="19">
        <f t="shared" si="8"/>
        <v>91200</v>
      </c>
      <c r="N167" s="25">
        <v>91200</v>
      </c>
      <c r="O167" s="4">
        <v>19000</v>
      </c>
      <c r="P167" s="27" t="s">
        <v>23</v>
      </c>
      <c r="Q167" s="17" t="s">
        <v>84</v>
      </c>
      <c r="R167" t="str">
        <f t="shared" si="9"/>
        <v>OK</v>
      </c>
      <c r="S167" s="2">
        <f t="shared" si="10"/>
        <v>1</v>
      </c>
      <c r="T167" s="35">
        <f t="shared" si="11"/>
        <v>34200</v>
      </c>
    </row>
    <row r="168" spans="1:20" x14ac:dyDescent="0.25">
      <c r="A168" s="14">
        <v>100167</v>
      </c>
      <c r="B168" s="15">
        <v>46252</v>
      </c>
      <c r="C168" s="16" t="s">
        <v>42</v>
      </c>
      <c r="D168" s="17" t="s">
        <v>26</v>
      </c>
      <c r="E168" s="16" t="s">
        <v>18</v>
      </c>
      <c r="F168" s="16" t="s">
        <v>27</v>
      </c>
      <c r="G168" s="17" t="s">
        <v>33</v>
      </c>
      <c r="H168" s="16" t="s">
        <v>176</v>
      </c>
      <c r="I168" s="16" t="s">
        <v>22</v>
      </c>
      <c r="J168" s="18">
        <v>1</v>
      </c>
      <c r="K168" s="19">
        <v>32000</v>
      </c>
      <c r="L168" s="20">
        <v>0.1</v>
      </c>
      <c r="M168" s="19">
        <f t="shared" si="8"/>
        <v>28800</v>
      </c>
      <c r="N168" s="19">
        <v>28800</v>
      </c>
      <c r="O168" s="4">
        <v>19000</v>
      </c>
      <c r="P168" s="17" t="s">
        <v>23</v>
      </c>
      <c r="Q168" s="17" t="s">
        <v>84</v>
      </c>
      <c r="R168" t="str">
        <f t="shared" si="9"/>
        <v>OK</v>
      </c>
      <c r="S168" s="2">
        <f t="shared" si="10"/>
        <v>1</v>
      </c>
      <c r="T168" s="35">
        <f t="shared" si="11"/>
        <v>9800</v>
      </c>
    </row>
    <row r="169" spans="1:20" x14ac:dyDescent="0.25">
      <c r="A169" s="21">
        <v>100168</v>
      </c>
      <c r="B169" s="22">
        <v>46251</v>
      </c>
      <c r="C169" s="23" t="s">
        <v>35</v>
      </c>
      <c r="D169" s="17" t="s">
        <v>36</v>
      </c>
      <c r="E169" s="23" t="s">
        <v>18</v>
      </c>
      <c r="F169" s="23" t="s">
        <v>27</v>
      </c>
      <c r="G169" s="17" t="s">
        <v>33</v>
      </c>
      <c r="H169" s="23" t="s">
        <v>69</v>
      </c>
      <c r="I169" s="23" t="s">
        <v>22</v>
      </c>
      <c r="J169" s="24">
        <v>22</v>
      </c>
      <c r="K169" s="25">
        <v>32000</v>
      </c>
      <c r="L169" s="26">
        <v>0.05</v>
      </c>
      <c r="M169" s="19">
        <f t="shared" si="8"/>
        <v>668800</v>
      </c>
      <c r="N169" s="25">
        <v>668800</v>
      </c>
      <c r="O169" s="4">
        <v>19000</v>
      </c>
      <c r="P169" s="27" t="s">
        <v>76</v>
      </c>
      <c r="Q169" s="17" t="s">
        <v>24</v>
      </c>
      <c r="R169" t="str">
        <f t="shared" si="9"/>
        <v>OK</v>
      </c>
      <c r="S169" s="2">
        <f t="shared" si="10"/>
        <v>1</v>
      </c>
      <c r="T169" s="35">
        <f t="shared" si="11"/>
        <v>250800</v>
      </c>
    </row>
    <row r="170" spans="1:20" x14ac:dyDescent="0.25">
      <c r="A170" s="14">
        <v>100169</v>
      </c>
      <c r="B170" s="15">
        <v>46055</v>
      </c>
      <c r="C170" s="16" t="s">
        <v>32</v>
      </c>
      <c r="D170" s="17" t="s">
        <v>17</v>
      </c>
      <c r="E170" s="16" t="s">
        <v>18</v>
      </c>
      <c r="F170" s="16" t="s">
        <v>27</v>
      </c>
      <c r="G170" s="17" t="s">
        <v>38</v>
      </c>
      <c r="H170" s="16" t="s">
        <v>177</v>
      </c>
      <c r="I170" s="16" t="s">
        <v>30</v>
      </c>
      <c r="J170" s="18">
        <v>3</v>
      </c>
      <c r="K170" s="19">
        <v>26000</v>
      </c>
      <c r="L170" s="20">
        <v>0.15</v>
      </c>
      <c r="M170" s="19">
        <f t="shared" si="8"/>
        <v>66300</v>
      </c>
      <c r="N170" s="19">
        <v>66300</v>
      </c>
      <c r="O170" s="4">
        <v>15000</v>
      </c>
      <c r="P170" s="17" t="s">
        <v>76</v>
      </c>
      <c r="Q170" s="17" t="s">
        <v>58</v>
      </c>
      <c r="R170" t="str">
        <f t="shared" si="9"/>
        <v>OK</v>
      </c>
      <c r="S170" s="2">
        <f t="shared" si="10"/>
        <v>1</v>
      </c>
      <c r="T170" s="35">
        <f t="shared" si="11"/>
        <v>21300</v>
      </c>
    </row>
    <row r="171" spans="1:20" x14ac:dyDescent="0.25">
      <c r="A171" s="21">
        <v>100170</v>
      </c>
      <c r="B171" s="22">
        <v>46158</v>
      </c>
      <c r="C171" s="23" t="s">
        <v>42</v>
      </c>
      <c r="D171" s="17" t="s">
        <v>26</v>
      </c>
      <c r="E171" s="23" t="s">
        <v>43</v>
      </c>
      <c r="F171" s="23" t="s">
        <v>27</v>
      </c>
      <c r="G171" s="17" t="s">
        <v>38</v>
      </c>
      <c r="H171" s="23" t="s">
        <v>74</v>
      </c>
      <c r="I171" s="23" t="s">
        <v>22</v>
      </c>
      <c r="J171" s="24">
        <v>1</v>
      </c>
      <c r="K171" s="25">
        <v>26000</v>
      </c>
      <c r="L171" s="26">
        <v>0.05</v>
      </c>
      <c r="M171" s="19">
        <f t="shared" si="8"/>
        <v>24700</v>
      </c>
      <c r="N171" s="25">
        <v>24700</v>
      </c>
      <c r="O171" s="4">
        <v>15000</v>
      </c>
      <c r="P171" s="27" t="s">
        <v>23</v>
      </c>
      <c r="Q171" s="17" t="s">
        <v>64</v>
      </c>
      <c r="R171" t="str">
        <f t="shared" si="9"/>
        <v>OK</v>
      </c>
      <c r="S171" s="2">
        <f t="shared" si="10"/>
        <v>1</v>
      </c>
      <c r="T171" s="35">
        <f t="shared" si="11"/>
        <v>9700</v>
      </c>
    </row>
    <row r="172" spans="1:20" x14ac:dyDescent="0.25">
      <c r="A172" s="14">
        <v>100171</v>
      </c>
      <c r="B172" s="15">
        <v>46227</v>
      </c>
      <c r="C172" s="16" t="s">
        <v>35</v>
      </c>
      <c r="D172" s="17" t="s">
        <v>36</v>
      </c>
      <c r="E172" s="16" t="s">
        <v>37</v>
      </c>
      <c r="F172" s="16" t="s">
        <v>19</v>
      </c>
      <c r="G172" s="17" t="s">
        <v>62</v>
      </c>
      <c r="H172" s="16" t="s">
        <v>178</v>
      </c>
      <c r="I172" s="16" t="s">
        <v>30</v>
      </c>
      <c r="J172" s="18">
        <v>3</v>
      </c>
      <c r="K172" s="19">
        <v>24000</v>
      </c>
      <c r="L172" s="20">
        <v>0.15</v>
      </c>
      <c r="M172" s="19">
        <f t="shared" si="8"/>
        <v>61200</v>
      </c>
      <c r="N172" s="19">
        <v>61200</v>
      </c>
      <c r="O172" s="4">
        <v>15000</v>
      </c>
      <c r="P172" s="17" t="s">
        <v>23</v>
      </c>
      <c r="Q172" s="17" t="s">
        <v>40</v>
      </c>
      <c r="R172" t="str">
        <f t="shared" si="9"/>
        <v>OK</v>
      </c>
      <c r="S172" s="2">
        <f t="shared" si="10"/>
        <v>1</v>
      </c>
      <c r="T172" s="35">
        <f t="shared" si="11"/>
        <v>16200</v>
      </c>
    </row>
    <row r="173" spans="1:20" x14ac:dyDescent="0.25">
      <c r="A173" s="21">
        <v>100172</v>
      </c>
      <c r="B173" s="22">
        <v>46110</v>
      </c>
      <c r="C173" s="23" t="s">
        <v>50</v>
      </c>
      <c r="D173" s="17" t="s">
        <v>51</v>
      </c>
      <c r="E173" s="23" t="s">
        <v>43</v>
      </c>
      <c r="F173" s="23" t="s">
        <v>44</v>
      </c>
      <c r="G173" s="17" t="s">
        <v>65</v>
      </c>
      <c r="H173" s="23" t="s">
        <v>165</v>
      </c>
      <c r="I173" s="23" t="s">
        <v>22</v>
      </c>
      <c r="J173" s="24">
        <v>2</v>
      </c>
      <c r="K173" s="25">
        <v>28000</v>
      </c>
      <c r="L173" s="26">
        <v>0.15</v>
      </c>
      <c r="M173" s="19">
        <f t="shared" si="8"/>
        <v>47600</v>
      </c>
      <c r="N173" s="25">
        <v>52360</v>
      </c>
      <c r="O173" s="4">
        <v>16000</v>
      </c>
      <c r="P173" s="27" t="s">
        <v>23</v>
      </c>
      <c r="Q173" s="17" t="s">
        <v>58</v>
      </c>
      <c r="R173" t="str">
        <f t="shared" si="9"/>
        <v>REVENUE MISMATCH</v>
      </c>
      <c r="S173" s="2">
        <f t="shared" si="10"/>
        <v>1.1000000000000001</v>
      </c>
      <c r="T173" s="35">
        <f t="shared" si="11"/>
        <v>15600</v>
      </c>
    </row>
    <row r="174" spans="1:20" x14ac:dyDescent="0.25">
      <c r="A174" s="14">
        <v>100173</v>
      </c>
      <c r="B174" s="15">
        <v>46052</v>
      </c>
      <c r="C174" s="16" t="s">
        <v>35</v>
      </c>
      <c r="D174" s="17" t="s">
        <v>36</v>
      </c>
      <c r="E174" s="16" t="s">
        <v>37</v>
      </c>
      <c r="F174" s="16" t="s">
        <v>44</v>
      </c>
      <c r="G174" s="17" t="s">
        <v>241</v>
      </c>
      <c r="H174" s="16" t="s">
        <v>179</v>
      </c>
      <c r="I174" s="16" t="s">
        <v>30</v>
      </c>
      <c r="J174" s="18">
        <v>1</v>
      </c>
      <c r="K174" s="19">
        <v>6500</v>
      </c>
      <c r="L174" s="20">
        <v>0.1</v>
      </c>
      <c r="M174" s="19">
        <f t="shared" si="8"/>
        <v>5850</v>
      </c>
      <c r="N174" s="19">
        <v>5850</v>
      </c>
      <c r="O174" s="4">
        <v>2200</v>
      </c>
      <c r="P174" s="17" t="s">
        <v>76</v>
      </c>
      <c r="Q174" s="17" t="s">
        <v>24</v>
      </c>
      <c r="R174" t="str">
        <f t="shared" si="9"/>
        <v>OK</v>
      </c>
      <c r="S174" s="2">
        <f t="shared" si="10"/>
        <v>1</v>
      </c>
      <c r="T174" s="35">
        <f t="shared" si="11"/>
        <v>3650</v>
      </c>
    </row>
    <row r="175" spans="1:20" x14ac:dyDescent="0.25">
      <c r="A175" s="21">
        <v>100174</v>
      </c>
      <c r="B175" s="22">
        <v>46237</v>
      </c>
      <c r="C175" s="23" t="s">
        <v>25</v>
      </c>
      <c r="D175" s="17" t="s">
        <v>26</v>
      </c>
      <c r="E175" s="23" t="s">
        <v>43</v>
      </c>
      <c r="F175" s="23" t="s">
        <v>44</v>
      </c>
      <c r="G175" s="17" t="s">
        <v>241</v>
      </c>
      <c r="H175" s="23" t="s">
        <v>171</v>
      </c>
      <c r="I175" s="23" t="s">
        <v>30</v>
      </c>
      <c r="J175" s="24">
        <v>2</v>
      </c>
      <c r="K175" s="25">
        <v>6500</v>
      </c>
      <c r="L175" s="26">
        <v>0.15</v>
      </c>
      <c r="M175" s="19">
        <f t="shared" si="8"/>
        <v>11050</v>
      </c>
      <c r="N175" s="25">
        <v>11050</v>
      </c>
      <c r="O175" s="4">
        <v>2200</v>
      </c>
      <c r="P175" s="27" t="s">
        <v>23</v>
      </c>
      <c r="Q175" s="17" t="s">
        <v>84</v>
      </c>
      <c r="R175" t="str">
        <f t="shared" si="9"/>
        <v>OK</v>
      </c>
      <c r="S175" s="2">
        <f t="shared" si="10"/>
        <v>1</v>
      </c>
      <c r="T175" s="35">
        <f t="shared" si="11"/>
        <v>6650</v>
      </c>
    </row>
    <row r="176" spans="1:20" x14ac:dyDescent="0.25">
      <c r="A176" s="14">
        <v>100175</v>
      </c>
      <c r="B176" s="15">
        <v>46039</v>
      </c>
      <c r="C176" s="16" t="s">
        <v>16</v>
      </c>
      <c r="D176" s="17" t="s">
        <v>17</v>
      </c>
      <c r="E176" s="16" t="s">
        <v>43</v>
      </c>
      <c r="F176" s="16" t="s">
        <v>19</v>
      </c>
      <c r="G176" s="17" t="s">
        <v>62</v>
      </c>
      <c r="H176" s="16" t="s">
        <v>179</v>
      </c>
      <c r="I176" s="16" t="s">
        <v>30</v>
      </c>
      <c r="J176" s="18">
        <v>5</v>
      </c>
      <c r="K176" s="19">
        <v>24000</v>
      </c>
      <c r="L176" s="20">
        <v>0.25</v>
      </c>
      <c r="M176" s="19">
        <f t="shared" si="8"/>
        <v>90000</v>
      </c>
      <c r="N176" s="19">
        <v>90000</v>
      </c>
      <c r="O176" s="4">
        <v>15000</v>
      </c>
      <c r="P176" s="17" t="s">
        <v>23</v>
      </c>
      <c r="Q176" s="17" t="s">
        <v>58</v>
      </c>
      <c r="R176" t="str">
        <f t="shared" si="9"/>
        <v>OK</v>
      </c>
      <c r="S176" s="2">
        <f t="shared" si="10"/>
        <v>1</v>
      </c>
      <c r="T176" s="35">
        <f t="shared" si="11"/>
        <v>15000</v>
      </c>
    </row>
    <row r="177" spans="1:20" x14ac:dyDescent="0.25">
      <c r="A177" s="21">
        <v>100176</v>
      </c>
      <c r="B177" s="22">
        <v>46255</v>
      </c>
      <c r="C177" s="23" t="s">
        <v>50</v>
      </c>
      <c r="D177" s="17" t="s">
        <v>51</v>
      </c>
      <c r="E177" s="23" t="s">
        <v>37</v>
      </c>
      <c r="F177" s="23" t="s">
        <v>44</v>
      </c>
      <c r="G177" s="17" t="s">
        <v>60</v>
      </c>
      <c r="H177" s="23" t="s">
        <v>69</v>
      </c>
      <c r="I177" s="23" t="s">
        <v>22</v>
      </c>
      <c r="J177" s="24">
        <v>2</v>
      </c>
      <c r="K177" s="25">
        <v>9000</v>
      </c>
      <c r="L177" s="26">
        <v>0.1</v>
      </c>
      <c r="M177" s="19">
        <f t="shared" si="8"/>
        <v>16200</v>
      </c>
      <c r="N177" s="25">
        <v>16200</v>
      </c>
      <c r="O177" s="4">
        <v>3500</v>
      </c>
      <c r="P177" s="27" t="s">
        <v>23</v>
      </c>
      <c r="Q177" s="17" t="s">
        <v>64</v>
      </c>
      <c r="R177" t="str">
        <f t="shared" si="9"/>
        <v>OK</v>
      </c>
      <c r="S177" s="2">
        <f t="shared" si="10"/>
        <v>1</v>
      </c>
      <c r="T177" s="35">
        <f t="shared" si="11"/>
        <v>9200</v>
      </c>
    </row>
    <row r="178" spans="1:20" x14ac:dyDescent="0.25">
      <c r="A178" s="14">
        <v>100177</v>
      </c>
      <c r="B178" s="15">
        <v>46180</v>
      </c>
      <c r="C178" s="16" t="s">
        <v>16</v>
      </c>
      <c r="D178" s="17" t="s">
        <v>17</v>
      </c>
      <c r="E178" s="16" t="s">
        <v>18</v>
      </c>
      <c r="F178" s="16" t="s">
        <v>19</v>
      </c>
      <c r="G178" s="17" t="s">
        <v>20</v>
      </c>
      <c r="H178" s="16" t="s">
        <v>68</v>
      </c>
      <c r="I178" s="16" t="s">
        <v>22</v>
      </c>
      <c r="J178" s="18">
        <v>1</v>
      </c>
      <c r="K178" s="19">
        <v>58000</v>
      </c>
      <c r="L178" s="20">
        <v>0.2</v>
      </c>
      <c r="M178" s="19">
        <f t="shared" si="8"/>
        <v>46400</v>
      </c>
      <c r="N178" s="19">
        <v>46400</v>
      </c>
      <c r="O178" s="4">
        <v>39000</v>
      </c>
      <c r="P178" s="17" t="s">
        <v>23</v>
      </c>
      <c r="Q178" s="17" t="s">
        <v>31</v>
      </c>
      <c r="R178" t="str">
        <f t="shared" si="9"/>
        <v>OK</v>
      </c>
      <c r="S178" s="2">
        <f t="shared" si="10"/>
        <v>1</v>
      </c>
      <c r="T178" s="35">
        <f t="shared" si="11"/>
        <v>7400</v>
      </c>
    </row>
    <row r="179" spans="1:20" x14ac:dyDescent="0.25">
      <c r="A179" s="21">
        <v>100178</v>
      </c>
      <c r="B179" s="22">
        <v>46095</v>
      </c>
      <c r="C179" s="23" t="s">
        <v>35</v>
      </c>
      <c r="D179" s="17" t="s">
        <v>36</v>
      </c>
      <c r="E179" s="23" t="s">
        <v>43</v>
      </c>
      <c r="F179" s="23" t="s">
        <v>44</v>
      </c>
      <c r="G179" s="17" t="s">
        <v>241</v>
      </c>
      <c r="H179" s="23" t="s">
        <v>34</v>
      </c>
      <c r="I179" s="23" t="s">
        <v>30</v>
      </c>
      <c r="J179" s="24">
        <v>2</v>
      </c>
      <c r="K179" s="25">
        <v>6500</v>
      </c>
      <c r="L179" s="26">
        <v>0.15</v>
      </c>
      <c r="M179" s="19">
        <f t="shared" si="8"/>
        <v>11050</v>
      </c>
      <c r="N179" s="25">
        <v>11050</v>
      </c>
      <c r="O179" s="4">
        <v>2200</v>
      </c>
      <c r="P179" s="27" t="s">
        <v>23</v>
      </c>
      <c r="Q179" s="17" t="s">
        <v>40</v>
      </c>
      <c r="R179" t="str">
        <f t="shared" si="9"/>
        <v>OK</v>
      </c>
      <c r="S179" s="2">
        <f t="shared" si="10"/>
        <v>1</v>
      </c>
      <c r="T179" s="35">
        <f t="shared" si="11"/>
        <v>6650</v>
      </c>
    </row>
    <row r="180" spans="1:20" x14ac:dyDescent="0.25">
      <c r="A180" s="14">
        <v>100179</v>
      </c>
      <c r="B180" s="15">
        <v>46085</v>
      </c>
      <c r="C180" s="16" t="s">
        <v>35</v>
      </c>
      <c r="D180" s="17" t="s">
        <v>36</v>
      </c>
      <c r="E180" s="16" t="s">
        <v>43</v>
      </c>
      <c r="F180" s="16" t="s">
        <v>27</v>
      </c>
      <c r="G180" s="17" t="s">
        <v>33</v>
      </c>
      <c r="H180" s="16" t="s">
        <v>180</v>
      </c>
      <c r="I180" s="16" t="s">
        <v>30</v>
      </c>
      <c r="J180" s="18">
        <v>5</v>
      </c>
      <c r="K180" s="19">
        <v>32000</v>
      </c>
      <c r="L180" s="20">
        <v>0.15</v>
      </c>
      <c r="M180" s="19">
        <f t="shared" si="8"/>
        <v>136000</v>
      </c>
      <c r="N180" s="19">
        <v>136000</v>
      </c>
      <c r="O180" s="4">
        <v>19000</v>
      </c>
      <c r="P180" s="17" t="s">
        <v>23</v>
      </c>
      <c r="Q180" s="17" t="s">
        <v>40</v>
      </c>
      <c r="R180" t="str">
        <f t="shared" si="9"/>
        <v>OK</v>
      </c>
      <c r="S180" s="2">
        <f t="shared" si="10"/>
        <v>1</v>
      </c>
      <c r="T180" s="35">
        <f t="shared" si="11"/>
        <v>41000</v>
      </c>
    </row>
    <row r="181" spans="1:20" x14ac:dyDescent="0.25">
      <c r="A181" s="21">
        <v>100180</v>
      </c>
      <c r="B181" s="22">
        <v>46167</v>
      </c>
      <c r="C181" s="23" t="s">
        <v>42</v>
      </c>
      <c r="D181" s="17" t="s">
        <v>26</v>
      </c>
      <c r="E181" s="23" t="s">
        <v>43</v>
      </c>
      <c r="F181" s="23" t="s">
        <v>44</v>
      </c>
      <c r="G181" s="17" t="s">
        <v>65</v>
      </c>
      <c r="H181" s="23" t="s">
        <v>46</v>
      </c>
      <c r="I181" s="23" t="s">
        <v>22</v>
      </c>
      <c r="J181" s="24">
        <v>3</v>
      </c>
      <c r="K181" s="25">
        <v>28000</v>
      </c>
      <c r="L181" s="26">
        <v>0.05</v>
      </c>
      <c r="M181" s="19">
        <f t="shared" si="8"/>
        <v>79800</v>
      </c>
      <c r="N181" s="25">
        <v>79800</v>
      </c>
      <c r="O181" s="4">
        <v>16000</v>
      </c>
      <c r="P181" s="27" t="s">
        <v>23</v>
      </c>
      <c r="Q181" s="17" t="s">
        <v>24</v>
      </c>
      <c r="R181" t="str">
        <f t="shared" si="9"/>
        <v>OK</v>
      </c>
      <c r="S181" s="2">
        <f t="shared" si="10"/>
        <v>1</v>
      </c>
      <c r="T181" s="35">
        <f t="shared" si="11"/>
        <v>31800</v>
      </c>
    </row>
    <row r="182" spans="1:20" x14ac:dyDescent="0.25">
      <c r="A182" s="14">
        <v>100181</v>
      </c>
      <c r="B182" s="15">
        <v>46052</v>
      </c>
      <c r="C182" s="16" t="s">
        <v>55</v>
      </c>
      <c r="D182" s="17" t="s">
        <v>56</v>
      </c>
      <c r="E182" s="16" t="s">
        <v>37</v>
      </c>
      <c r="F182" s="16" t="s">
        <v>19</v>
      </c>
      <c r="G182" s="17" t="s">
        <v>62</v>
      </c>
      <c r="H182" s="16" t="s">
        <v>181</v>
      </c>
      <c r="I182" s="16" t="s">
        <v>30</v>
      </c>
      <c r="J182" s="18">
        <v>1</v>
      </c>
      <c r="K182" s="19">
        <v>24000</v>
      </c>
      <c r="L182" s="20">
        <v>0.1</v>
      </c>
      <c r="M182" s="19">
        <f t="shared" si="8"/>
        <v>21600</v>
      </c>
      <c r="N182" s="19">
        <v>21600</v>
      </c>
      <c r="O182" s="4">
        <v>15000</v>
      </c>
      <c r="P182" s="17" t="s">
        <v>76</v>
      </c>
      <c r="Q182" s="17" t="s">
        <v>24</v>
      </c>
      <c r="R182" t="str">
        <f t="shared" si="9"/>
        <v>OK</v>
      </c>
      <c r="S182" s="2">
        <f t="shared" si="10"/>
        <v>1</v>
      </c>
      <c r="T182" s="35">
        <f t="shared" si="11"/>
        <v>6600</v>
      </c>
    </row>
    <row r="183" spans="1:20" x14ac:dyDescent="0.25">
      <c r="A183" s="21">
        <v>100182</v>
      </c>
      <c r="B183" s="22">
        <v>46094</v>
      </c>
      <c r="C183" s="23" t="s">
        <v>32</v>
      </c>
      <c r="D183" s="17" t="s">
        <v>17</v>
      </c>
      <c r="E183" s="23" t="s">
        <v>37</v>
      </c>
      <c r="F183" s="23" t="s">
        <v>44</v>
      </c>
      <c r="G183" s="17" t="s">
        <v>65</v>
      </c>
      <c r="H183" s="23" t="s">
        <v>130</v>
      </c>
      <c r="I183" s="23" t="s">
        <v>30</v>
      </c>
      <c r="J183" s="24">
        <v>2</v>
      </c>
      <c r="K183" s="25">
        <v>28000</v>
      </c>
      <c r="L183" s="26">
        <v>0.2</v>
      </c>
      <c r="M183" s="19">
        <f t="shared" si="8"/>
        <v>44800</v>
      </c>
      <c r="N183" s="25">
        <v>44800</v>
      </c>
      <c r="O183" s="4">
        <v>16000</v>
      </c>
      <c r="P183" s="27" t="s">
        <v>76</v>
      </c>
      <c r="Q183" s="17" t="s">
        <v>31</v>
      </c>
      <c r="R183" t="str">
        <f t="shared" si="9"/>
        <v>OK</v>
      </c>
      <c r="S183" s="2">
        <f t="shared" si="10"/>
        <v>1</v>
      </c>
      <c r="T183" s="35">
        <f t="shared" si="11"/>
        <v>12800</v>
      </c>
    </row>
    <row r="184" spans="1:20" x14ac:dyDescent="0.25">
      <c r="A184" s="14">
        <v>100183</v>
      </c>
      <c r="B184" s="15">
        <v>46219</v>
      </c>
      <c r="C184" s="16" t="s">
        <v>50</v>
      </c>
      <c r="D184" s="17" t="s">
        <v>51</v>
      </c>
      <c r="E184" s="16" t="s">
        <v>43</v>
      </c>
      <c r="F184" s="16" t="s">
        <v>19</v>
      </c>
      <c r="G184" s="17" t="s">
        <v>20</v>
      </c>
      <c r="H184" s="16" t="s">
        <v>182</v>
      </c>
      <c r="I184" s="16" t="s">
        <v>30</v>
      </c>
      <c r="J184" s="18">
        <v>5</v>
      </c>
      <c r="K184" s="19">
        <v>58000</v>
      </c>
      <c r="L184" s="20">
        <v>0.15</v>
      </c>
      <c r="M184" s="19">
        <f t="shared" si="8"/>
        <v>246500</v>
      </c>
      <c r="N184" s="19">
        <v>246500</v>
      </c>
      <c r="O184" s="4">
        <v>39000</v>
      </c>
      <c r="P184" s="17" t="s">
        <v>23</v>
      </c>
      <c r="Q184" s="17" t="s">
        <v>40</v>
      </c>
      <c r="R184" t="str">
        <f t="shared" si="9"/>
        <v>OK</v>
      </c>
      <c r="S184" s="2">
        <f t="shared" si="10"/>
        <v>1</v>
      </c>
      <c r="T184" s="35">
        <f t="shared" si="11"/>
        <v>51500</v>
      </c>
    </row>
    <row r="185" spans="1:20" x14ac:dyDescent="0.25">
      <c r="A185" s="21">
        <v>100184</v>
      </c>
      <c r="B185" s="22">
        <v>46044</v>
      </c>
      <c r="C185" s="23" t="s">
        <v>42</v>
      </c>
      <c r="D185" s="17" t="s">
        <v>26</v>
      </c>
      <c r="E185" s="23" t="s">
        <v>43</v>
      </c>
      <c r="F185" s="23" t="s">
        <v>19</v>
      </c>
      <c r="G185" s="17" t="s">
        <v>52</v>
      </c>
      <c r="H185" s="23" t="s">
        <v>179</v>
      </c>
      <c r="I185" s="23" t="s">
        <v>22</v>
      </c>
      <c r="J185" s="24">
        <v>1</v>
      </c>
      <c r="K185" s="25">
        <v>42000</v>
      </c>
      <c r="L185" s="26">
        <v>0</v>
      </c>
      <c r="M185" s="19">
        <f t="shared" si="8"/>
        <v>42000</v>
      </c>
      <c r="N185" s="25">
        <v>42000</v>
      </c>
      <c r="O185" s="4">
        <v>28000</v>
      </c>
      <c r="P185" s="27" t="s">
        <v>23</v>
      </c>
      <c r="Q185" s="17" t="s">
        <v>58</v>
      </c>
      <c r="R185" t="str">
        <f t="shared" si="9"/>
        <v>OK</v>
      </c>
      <c r="S185" s="2">
        <f t="shared" si="10"/>
        <v>1</v>
      </c>
      <c r="T185" s="35">
        <f t="shared" si="11"/>
        <v>14000</v>
      </c>
    </row>
    <row r="186" spans="1:20" x14ac:dyDescent="0.25">
      <c r="A186" s="14">
        <v>100185</v>
      </c>
      <c r="B186" s="15">
        <v>46035</v>
      </c>
      <c r="C186" s="16" t="s">
        <v>32</v>
      </c>
      <c r="D186" s="17" t="s">
        <v>17</v>
      </c>
      <c r="E186" s="16" t="s">
        <v>18</v>
      </c>
      <c r="F186" s="16" t="s">
        <v>19</v>
      </c>
      <c r="G186" s="17" t="s">
        <v>52</v>
      </c>
      <c r="H186" s="16" t="s">
        <v>183</v>
      </c>
      <c r="I186" s="16" t="s">
        <v>30</v>
      </c>
      <c r="J186" s="18">
        <v>2</v>
      </c>
      <c r="K186" s="19">
        <v>42000</v>
      </c>
      <c r="L186" s="20">
        <v>0.15</v>
      </c>
      <c r="M186" s="19">
        <f t="shared" si="8"/>
        <v>71400</v>
      </c>
      <c r="N186" s="19">
        <v>71400</v>
      </c>
      <c r="O186" s="4">
        <v>28000</v>
      </c>
      <c r="P186" s="17" t="s">
        <v>23</v>
      </c>
      <c r="Q186" s="17" t="s">
        <v>31</v>
      </c>
      <c r="R186" t="str">
        <f t="shared" si="9"/>
        <v>OK</v>
      </c>
      <c r="S186" s="2">
        <f t="shared" si="10"/>
        <v>1</v>
      </c>
      <c r="T186" s="35">
        <f t="shared" si="11"/>
        <v>15400</v>
      </c>
    </row>
    <row r="187" spans="1:20" x14ac:dyDescent="0.25">
      <c r="A187" s="21">
        <v>100186</v>
      </c>
      <c r="B187" s="22">
        <v>46041</v>
      </c>
      <c r="C187" s="23" t="s">
        <v>16</v>
      </c>
      <c r="D187" s="17" t="s">
        <v>17</v>
      </c>
      <c r="E187" s="23" t="s">
        <v>37</v>
      </c>
      <c r="F187" s="23" t="s">
        <v>44</v>
      </c>
      <c r="G187" s="17" t="s">
        <v>60</v>
      </c>
      <c r="H187" s="23" t="s">
        <v>140</v>
      </c>
      <c r="I187" s="23" t="s">
        <v>22</v>
      </c>
      <c r="J187" s="24">
        <v>2</v>
      </c>
      <c r="K187" s="25">
        <v>9000</v>
      </c>
      <c r="L187" s="26">
        <v>0.05</v>
      </c>
      <c r="M187" s="19">
        <f t="shared" si="8"/>
        <v>17100</v>
      </c>
      <c r="N187" s="25">
        <v>17100</v>
      </c>
      <c r="O187" s="4">
        <v>3500</v>
      </c>
      <c r="P187" s="27" t="s">
        <v>23</v>
      </c>
      <c r="Q187" s="17" t="s">
        <v>40</v>
      </c>
      <c r="R187" t="str">
        <f t="shared" si="9"/>
        <v>OK</v>
      </c>
      <c r="S187" s="2">
        <f t="shared" si="10"/>
        <v>1</v>
      </c>
      <c r="T187" s="35">
        <f t="shared" si="11"/>
        <v>10100</v>
      </c>
    </row>
    <row r="188" spans="1:20" x14ac:dyDescent="0.25">
      <c r="A188" s="14">
        <v>100187</v>
      </c>
      <c r="B188" s="15">
        <v>46025</v>
      </c>
      <c r="C188" s="16" t="s">
        <v>35</v>
      </c>
      <c r="D188" s="17" t="s">
        <v>36</v>
      </c>
      <c r="E188" s="16" t="s">
        <v>43</v>
      </c>
      <c r="F188" s="16" t="s">
        <v>19</v>
      </c>
      <c r="G188" s="17" t="s">
        <v>20</v>
      </c>
      <c r="H188" s="16" t="s">
        <v>184</v>
      </c>
      <c r="I188" s="16" t="s">
        <v>22</v>
      </c>
      <c r="J188" s="18">
        <v>2</v>
      </c>
      <c r="K188" s="19">
        <v>58000</v>
      </c>
      <c r="L188" s="20">
        <v>0.1</v>
      </c>
      <c r="M188" s="19">
        <f t="shared" si="8"/>
        <v>104400</v>
      </c>
      <c r="N188" s="19">
        <v>104400</v>
      </c>
      <c r="O188" s="4">
        <v>39000</v>
      </c>
      <c r="P188" s="17" t="s">
        <v>23</v>
      </c>
      <c r="Q188" s="17" t="s">
        <v>64</v>
      </c>
      <c r="R188" t="str">
        <f t="shared" si="9"/>
        <v>OK</v>
      </c>
      <c r="S188" s="2">
        <f t="shared" si="10"/>
        <v>1</v>
      </c>
      <c r="T188" s="35">
        <f t="shared" si="11"/>
        <v>26400</v>
      </c>
    </row>
    <row r="189" spans="1:20" x14ac:dyDescent="0.25">
      <c r="A189" s="21">
        <v>100188</v>
      </c>
      <c r="B189" s="22">
        <v>46170</v>
      </c>
      <c r="C189" s="23" t="s">
        <v>35</v>
      </c>
      <c r="D189" s="17" t="s">
        <v>36</v>
      </c>
      <c r="E189" s="23" t="s">
        <v>37</v>
      </c>
      <c r="F189" s="23" t="s">
        <v>27</v>
      </c>
      <c r="G189" s="17" t="s">
        <v>33</v>
      </c>
      <c r="H189" s="23" t="s">
        <v>144</v>
      </c>
      <c r="I189" s="23" t="s">
        <v>22</v>
      </c>
      <c r="J189" s="24">
        <v>1</v>
      </c>
      <c r="K189" s="25">
        <v>32000</v>
      </c>
      <c r="L189" s="26">
        <v>0.1</v>
      </c>
      <c r="M189" s="19">
        <f t="shared" si="8"/>
        <v>28800</v>
      </c>
      <c r="N189" s="25">
        <v>28800</v>
      </c>
      <c r="O189" s="4">
        <v>19000</v>
      </c>
      <c r="P189" s="27" t="s">
        <v>23</v>
      </c>
      <c r="Q189" s="17" t="s">
        <v>31</v>
      </c>
      <c r="R189" t="str">
        <f t="shared" si="9"/>
        <v>OK</v>
      </c>
      <c r="S189" s="2">
        <f t="shared" si="10"/>
        <v>1</v>
      </c>
      <c r="T189" s="35">
        <f t="shared" si="11"/>
        <v>9800</v>
      </c>
    </row>
    <row r="190" spans="1:20" x14ac:dyDescent="0.25">
      <c r="A190" s="14">
        <v>100189</v>
      </c>
      <c r="B190" s="15">
        <v>46136</v>
      </c>
      <c r="C190" s="16" t="s">
        <v>16</v>
      </c>
      <c r="D190" s="17" t="s">
        <v>17</v>
      </c>
      <c r="E190" s="16" t="s">
        <v>18</v>
      </c>
      <c r="F190" s="16" t="s">
        <v>44</v>
      </c>
      <c r="G190" s="17" t="s">
        <v>241</v>
      </c>
      <c r="H190" s="16" t="s">
        <v>167</v>
      </c>
      <c r="I190" s="16" t="s">
        <v>30</v>
      </c>
      <c r="J190" s="18">
        <v>1</v>
      </c>
      <c r="K190" s="19">
        <v>6500</v>
      </c>
      <c r="L190" s="20">
        <v>0.05</v>
      </c>
      <c r="M190" s="19">
        <f t="shared" si="8"/>
        <v>6175</v>
      </c>
      <c r="N190" s="19">
        <v>6175</v>
      </c>
      <c r="O190" s="4">
        <v>2200</v>
      </c>
      <c r="P190" s="17" t="s">
        <v>23</v>
      </c>
      <c r="Q190" s="17" t="s">
        <v>24</v>
      </c>
      <c r="R190" t="str">
        <f t="shared" si="9"/>
        <v>OK</v>
      </c>
      <c r="S190" s="2">
        <f t="shared" si="10"/>
        <v>1</v>
      </c>
      <c r="T190" s="35">
        <f t="shared" si="11"/>
        <v>3975</v>
      </c>
    </row>
    <row r="191" spans="1:20" x14ac:dyDescent="0.25">
      <c r="A191" s="21">
        <v>100190</v>
      </c>
      <c r="B191" s="22">
        <v>46158</v>
      </c>
      <c r="C191" s="23" t="s">
        <v>25</v>
      </c>
      <c r="D191" s="17" t="s">
        <v>26</v>
      </c>
      <c r="E191" s="23" t="s">
        <v>18</v>
      </c>
      <c r="F191" s="23" t="s">
        <v>19</v>
      </c>
      <c r="G191" s="17" t="s">
        <v>52</v>
      </c>
      <c r="H191" s="23" t="s">
        <v>66</v>
      </c>
      <c r="I191" s="23" t="s">
        <v>30</v>
      </c>
      <c r="J191" s="24">
        <v>2</v>
      </c>
      <c r="K191" s="25">
        <v>42000</v>
      </c>
      <c r="L191" s="26">
        <v>0.15</v>
      </c>
      <c r="M191" s="19">
        <f t="shared" si="8"/>
        <v>71400</v>
      </c>
      <c r="N191" s="25">
        <v>71400</v>
      </c>
      <c r="O191" s="4">
        <v>28000</v>
      </c>
      <c r="P191" s="27" t="s">
        <v>23</v>
      </c>
      <c r="Q191" s="17" t="s">
        <v>47</v>
      </c>
      <c r="R191" t="str">
        <f t="shared" si="9"/>
        <v>OK</v>
      </c>
      <c r="S191" s="2">
        <f t="shared" si="10"/>
        <v>1</v>
      </c>
      <c r="T191" s="35">
        <f t="shared" si="11"/>
        <v>15400</v>
      </c>
    </row>
    <row r="192" spans="1:20" x14ac:dyDescent="0.25">
      <c r="A192" s="14">
        <v>100191</v>
      </c>
      <c r="B192" s="15">
        <v>46051</v>
      </c>
      <c r="C192" s="16" t="s">
        <v>50</v>
      </c>
      <c r="D192" s="17" t="s">
        <v>51</v>
      </c>
      <c r="E192" s="16" t="s">
        <v>43</v>
      </c>
      <c r="F192" s="16" t="s">
        <v>44</v>
      </c>
      <c r="G192" s="17" t="s">
        <v>241</v>
      </c>
      <c r="H192" s="16" t="s">
        <v>178</v>
      </c>
      <c r="I192" s="16" t="s">
        <v>22</v>
      </c>
      <c r="J192" s="18">
        <v>3</v>
      </c>
      <c r="K192" s="19">
        <v>6500</v>
      </c>
      <c r="L192" s="20">
        <v>0.1</v>
      </c>
      <c r="M192" s="19">
        <f t="shared" si="8"/>
        <v>17550</v>
      </c>
      <c r="N192" s="19">
        <v>17550</v>
      </c>
      <c r="O192" s="4">
        <v>2200</v>
      </c>
      <c r="P192" s="17" t="s">
        <v>23</v>
      </c>
      <c r="Q192" s="17" t="s">
        <v>58</v>
      </c>
      <c r="R192" t="str">
        <f t="shared" si="9"/>
        <v>OK</v>
      </c>
      <c r="S192" s="2">
        <f t="shared" si="10"/>
        <v>1</v>
      </c>
      <c r="T192" s="35">
        <f t="shared" si="11"/>
        <v>10950</v>
      </c>
    </row>
    <row r="193" spans="1:20" x14ac:dyDescent="0.25">
      <c r="A193" s="21">
        <v>100192</v>
      </c>
      <c r="B193" s="22">
        <v>46088</v>
      </c>
      <c r="C193" s="23" t="s">
        <v>35</v>
      </c>
      <c r="D193" s="17" t="s">
        <v>36</v>
      </c>
      <c r="E193" s="23" t="s">
        <v>37</v>
      </c>
      <c r="F193" s="23" t="s">
        <v>27</v>
      </c>
      <c r="G193" s="17" t="s">
        <v>28</v>
      </c>
      <c r="H193" s="23" t="s">
        <v>134</v>
      </c>
      <c r="I193" s="23" t="s">
        <v>30</v>
      </c>
      <c r="J193" s="24">
        <v>2</v>
      </c>
      <c r="K193" s="25">
        <v>165000</v>
      </c>
      <c r="L193" s="26">
        <v>0.1</v>
      </c>
      <c r="M193" s="19">
        <f t="shared" si="8"/>
        <v>297000</v>
      </c>
      <c r="N193" s="25">
        <v>267300</v>
      </c>
      <c r="O193" s="4">
        <v>112000</v>
      </c>
      <c r="P193" s="27" t="s">
        <v>23</v>
      </c>
      <c r="Q193" s="17" t="s">
        <v>58</v>
      </c>
      <c r="R193" t="str">
        <f t="shared" si="9"/>
        <v>REVENUE MISMATCH</v>
      </c>
      <c r="S193" s="2">
        <f t="shared" si="10"/>
        <v>0.9</v>
      </c>
      <c r="T193" s="35">
        <f t="shared" si="11"/>
        <v>73000</v>
      </c>
    </row>
    <row r="194" spans="1:20" x14ac:dyDescent="0.25">
      <c r="A194" s="14">
        <v>100193</v>
      </c>
      <c r="B194" s="15">
        <v>46226</v>
      </c>
      <c r="C194" s="16" t="s">
        <v>55</v>
      </c>
      <c r="D194" s="17" t="s">
        <v>56</v>
      </c>
      <c r="E194" s="16" t="s">
        <v>37</v>
      </c>
      <c r="F194" s="16" t="s">
        <v>27</v>
      </c>
      <c r="G194" s="17" t="s">
        <v>38</v>
      </c>
      <c r="H194" s="16" t="s">
        <v>181</v>
      </c>
      <c r="I194" s="16" t="s">
        <v>22</v>
      </c>
      <c r="J194" s="18">
        <v>3</v>
      </c>
      <c r="K194" s="19">
        <v>26000</v>
      </c>
      <c r="L194" s="20">
        <v>0.1</v>
      </c>
      <c r="M194" s="19">
        <f t="shared" ref="M194:M257" si="12">J194*K194*(1-L194)</f>
        <v>70200</v>
      </c>
      <c r="N194" s="19">
        <v>70200</v>
      </c>
      <c r="O194" s="4">
        <v>15000</v>
      </c>
      <c r="P194" s="17" t="s">
        <v>23</v>
      </c>
      <c r="Q194" s="17" t="s">
        <v>47</v>
      </c>
      <c r="R194" t="str">
        <f t="shared" ref="R194:R257" si="13">IF(ABS(N194-M194)&gt;1,"REVENUE MISMATCH","OK")</f>
        <v>OK</v>
      </c>
      <c r="S194" s="2">
        <f t="shared" ref="S194:S257" si="14">N194/M194</f>
        <v>1</v>
      </c>
      <c r="T194" s="35">
        <f t="shared" si="11"/>
        <v>25200</v>
      </c>
    </row>
    <row r="195" spans="1:20" x14ac:dyDescent="0.25">
      <c r="A195" s="21">
        <v>100194</v>
      </c>
      <c r="B195" s="22">
        <v>46165</v>
      </c>
      <c r="C195" s="23" t="s">
        <v>16</v>
      </c>
      <c r="D195" s="17" t="s">
        <v>17</v>
      </c>
      <c r="E195" s="23" t="s">
        <v>18</v>
      </c>
      <c r="F195" s="23" t="s">
        <v>27</v>
      </c>
      <c r="G195" s="17" t="s">
        <v>28</v>
      </c>
      <c r="H195" s="23" t="s">
        <v>133</v>
      </c>
      <c r="I195" s="23" t="s">
        <v>30</v>
      </c>
      <c r="J195" s="24">
        <v>3</v>
      </c>
      <c r="K195" s="25">
        <v>165000</v>
      </c>
      <c r="L195" s="26">
        <v>0.25</v>
      </c>
      <c r="M195" s="19">
        <f t="shared" si="12"/>
        <v>371250</v>
      </c>
      <c r="N195" s="25">
        <v>371250</v>
      </c>
      <c r="O195" s="4">
        <v>112000</v>
      </c>
      <c r="P195" s="27" t="s">
        <v>23</v>
      </c>
      <c r="Q195" s="17" t="s">
        <v>47</v>
      </c>
      <c r="R195" t="str">
        <f t="shared" si="13"/>
        <v>OK</v>
      </c>
      <c r="S195" s="2">
        <f t="shared" si="14"/>
        <v>1</v>
      </c>
      <c r="T195" s="35">
        <f t="shared" ref="T195:T258" si="15">M195-(O195*J195)</f>
        <v>35250</v>
      </c>
    </row>
    <row r="196" spans="1:20" x14ac:dyDescent="0.25">
      <c r="A196" s="14">
        <v>100195</v>
      </c>
      <c r="B196" s="15">
        <v>46109</v>
      </c>
      <c r="C196" s="16" t="s">
        <v>55</v>
      </c>
      <c r="D196" s="17" t="s">
        <v>56</v>
      </c>
      <c r="E196" s="16" t="s">
        <v>43</v>
      </c>
      <c r="F196" s="16" t="s">
        <v>19</v>
      </c>
      <c r="G196" s="17" t="s">
        <v>62</v>
      </c>
      <c r="H196" s="16" t="s">
        <v>123</v>
      </c>
      <c r="I196" s="16" t="s">
        <v>22</v>
      </c>
      <c r="J196" s="18">
        <v>2</v>
      </c>
      <c r="K196" s="19">
        <v>24000</v>
      </c>
      <c r="L196" s="20">
        <v>0.05</v>
      </c>
      <c r="M196" s="19">
        <f t="shared" si="12"/>
        <v>45600</v>
      </c>
      <c r="N196" s="19">
        <v>45600</v>
      </c>
      <c r="O196" s="4">
        <v>15000</v>
      </c>
      <c r="P196" s="17" t="s">
        <v>23</v>
      </c>
      <c r="Q196" s="17" t="s">
        <v>64</v>
      </c>
      <c r="R196" t="str">
        <f t="shared" si="13"/>
        <v>OK</v>
      </c>
      <c r="S196" s="2">
        <f t="shared" si="14"/>
        <v>1</v>
      </c>
      <c r="T196" s="35">
        <f t="shared" si="15"/>
        <v>15600</v>
      </c>
    </row>
    <row r="197" spans="1:20" x14ac:dyDescent="0.25">
      <c r="A197" s="21">
        <v>100196</v>
      </c>
      <c r="B197" s="22">
        <v>46078</v>
      </c>
      <c r="C197" s="23" t="s">
        <v>42</v>
      </c>
      <c r="D197" s="17" t="s">
        <v>26</v>
      </c>
      <c r="E197" s="23" t="s">
        <v>43</v>
      </c>
      <c r="F197" s="23" t="s">
        <v>27</v>
      </c>
      <c r="G197" s="17" t="s">
        <v>33</v>
      </c>
      <c r="H197" s="23" t="s">
        <v>186</v>
      </c>
      <c r="I197" s="23" t="s">
        <v>30</v>
      </c>
      <c r="J197" s="24">
        <v>4</v>
      </c>
      <c r="K197" s="25">
        <v>32000</v>
      </c>
      <c r="L197" s="26">
        <v>0.1</v>
      </c>
      <c r="M197" s="19">
        <f t="shared" si="12"/>
        <v>115200</v>
      </c>
      <c r="N197" s="25">
        <v>115200</v>
      </c>
      <c r="O197" s="4">
        <v>19000</v>
      </c>
      <c r="P197" s="27" t="s">
        <v>23</v>
      </c>
      <c r="Q197" s="17" t="s">
        <v>40</v>
      </c>
      <c r="R197" t="str">
        <f t="shared" si="13"/>
        <v>OK</v>
      </c>
      <c r="S197" s="2">
        <f t="shared" si="14"/>
        <v>1</v>
      </c>
      <c r="T197" s="35">
        <f t="shared" si="15"/>
        <v>39200</v>
      </c>
    </row>
    <row r="198" spans="1:20" x14ac:dyDescent="0.25">
      <c r="A198" s="14">
        <v>100197</v>
      </c>
      <c r="B198" s="15">
        <v>46235</v>
      </c>
      <c r="C198" s="16" t="s">
        <v>32</v>
      </c>
      <c r="D198" s="17" t="s">
        <v>17</v>
      </c>
      <c r="E198" s="16" t="s">
        <v>37</v>
      </c>
      <c r="F198" s="16" t="s">
        <v>44</v>
      </c>
      <c r="G198" s="17" t="s">
        <v>60</v>
      </c>
      <c r="H198" s="16" t="s">
        <v>187</v>
      </c>
      <c r="I198" s="16" t="s">
        <v>30</v>
      </c>
      <c r="J198" s="18">
        <v>1</v>
      </c>
      <c r="K198" s="19">
        <v>9000</v>
      </c>
      <c r="L198" s="20">
        <v>0.25</v>
      </c>
      <c r="M198" s="19">
        <f t="shared" si="12"/>
        <v>6750</v>
      </c>
      <c r="N198" s="19">
        <v>6750</v>
      </c>
      <c r="O198" s="4">
        <v>3500</v>
      </c>
      <c r="P198" s="17" t="s">
        <v>76</v>
      </c>
      <c r="Q198" s="17" t="s">
        <v>31</v>
      </c>
      <c r="R198" t="str">
        <f t="shared" si="13"/>
        <v>OK</v>
      </c>
      <c r="S198" s="2">
        <f t="shared" si="14"/>
        <v>1</v>
      </c>
      <c r="T198" s="35">
        <f t="shared" si="15"/>
        <v>3250</v>
      </c>
    </row>
    <row r="199" spans="1:20" x14ac:dyDescent="0.25">
      <c r="A199" s="21">
        <v>100198</v>
      </c>
      <c r="B199" s="22">
        <v>46142</v>
      </c>
      <c r="C199" s="23" t="s">
        <v>35</v>
      </c>
      <c r="D199" s="17" t="s">
        <v>36</v>
      </c>
      <c r="E199" s="23" t="s">
        <v>37</v>
      </c>
      <c r="F199" s="23" t="s">
        <v>27</v>
      </c>
      <c r="G199" s="17" t="s">
        <v>28</v>
      </c>
      <c r="H199" s="23" t="s">
        <v>118</v>
      </c>
      <c r="I199" s="23" t="s">
        <v>30</v>
      </c>
      <c r="J199" s="24">
        <v>2</v>
      </c>
      <c r="K199" s="25">
        <v>165000</v>
      </c>
      <c r="L199" s="26">
        <v>0.05</v>
      </c>
      <c r="M199" s="19">
        <f t="shared" si="12"/>
        <v>313500</v>
      </c>
      <c r="N199" s="25">
        <v>313500</v>
      </c>
      <c r="O199" s="4">
        <v>112000</v>
      </c>
      <c r="P199" s="27" t="s">
        <v>23</v>
      </c>
      <c r="Q199" s="17" t="s">
        <v>54</v>
      </c>
      <c r="R199" t="str">
        <f t="shared" si="13"/>
        <v>OK</v>
      </c>
      <c r="S199" s="2">
        <f t="shared" si="14"/>
        <v>1</v>
      </c>
      <c r="T199" s="35">
        <f t="shared" si="15"/>
        <v>89500</v>
      </c>
    </row>
    <row r="200" spans="1:20" x14ac:dyDescent="0.25">
      <c r="A200" s="14">
        <v>100199</v>
      </c>
      <c r="B200" s="15">
        <v>46170</v>
      </c>
      <c r="C200" s="16" t="s">
        <v>50</v>
      </c>
      <c r="D200" s="17" t="s">
        <v>51</v>
      </c>
      <c r="E200" s="16" t="s">
        <v>18</v>
      </c>
      <c r="F200" s="16" t="s">
        <v>44</v>
      </c>
      <c r="G200" s="17" t="s">
        <v>65</v>
      </c>
      <c r="H200" s="16" t="s">
        <v>100</v>
      </c>
      <c r="I200" s="16" t="s">
        <v>30</v>
      </c>
      <c r="J200" s="18">
        <v>2</v>
      </c>
      <c r="K200" s="19">
        <v>28000</v>
      </c>
      <c r="L200" s="20">
        <v>0.05</v>
      </c>
      <c r="M200" s="19">
        <f t="shared" si="12"/>
        <v>53200</v>
      </c>
      <c r="N200" s="19">
        <v>53200</v>
      </c>
      <c r="O200" s="4">
        <v>16000</v>
      </c>
      <c r="P200" s="17" t="s">
        <v>23</v>
      </c>
      <c r="Q200" s="17" t="s">
        <v>58</v>
      </c>
      <c r="R200" t="str">
        <f t="shared" si="13"/>
        <v>OK</v>
      </c>
      <c r="S200" s="2">
        <f t="shared" si="14"/>
        <v>1</v>
      </c>
      <c r="T200" s="35">
        <f t="shared" si="15"/>
        <v>21200</v>
      </c>
    </row>
    <row r="201" spans="1:20" x14ac:dyDescent="0.25">
      <c r="A201" s="21">
        <v>100200</v>
      </c>
      <c r="B201" s="22">
        <v>46024</v>
      </c>
      <c r="C201" s="23" t="s">
        <v>35</v>
      </c>
      <c r="D201" s="17" t="s">
        <v>36</v>
      </c>
      <c r="E201" s="23" t="s">
        <v>43</v>
      </c>
      <c r="F201" s="23" t="s">
        <v>44</v>
      </c>
      <c r="G201" s="17" t="s">
        <v>65</v>
      </c>
      <c r="H201" s="23" t="s">
        <v>125</v>
      </c>
      <c r="I201" s="23" t="s">
        <v>30</v>
      </c>
      <c r="J201" s="24">
        <v>2</v>
      </c>
      <c r="K201" s="25">
        <v>28000</v>
      </c>
      <c r="L201" s="26">
        <v>0.05</v>
      </c>
      <c r="M201" s="19">
        <f t="shared" si="12"/>
        <v>53200</v>
      </c>
      <c r="N201" s="25">
        <v>53200</v>
      </c>
      <c r="O201" s="4">
        <v>16000</v>
      </c>
      <c r="P201" s="27" t="s">
        <v>23</v>
      </c>
      <c r="Q201" s="17" t="s">
        <v>64</v>
      </c>
      <c r="R201" t="str">
        <f t="shared" si="13"/>
        <v>OK</v>
      </c>
      <c r="S201" s="2">
        <f t="shared" si="14"/>
        <v>1</v>
      </c>
      <c r="T201" s="35">
        <f t="shared" si="15"/>
        <v>21200</v>
      </c>
    </row>
    <row r="202" spans="1:20" x14ac:dyDescent="0.25">
      <c r="A202" s="14">
        <v>100201</v>
      </c>
      <c r="B202" s="15">
        <v>46075</v>
      </c>
      <c r="C202" s="16" t="s">
        <v>35</v>
      </c>
      <c r="D202" s="17" t="s">
        <v>36</v>
      </c>
      <c r="E202" s="16" t="s">
        <v>37</v>
      </c>
      <c r="F202" s="16" t="s">
        <v>44</v>
      </c>
      <c r="G202" s="17" t="s">
        <v>241</v>
      </c>
      <c r="H202" s="16" t="s">
        <v>46</v>
      </c>
      <c r="I202" s="16" t="s">
        <v>22</v>
      </c>
      <c r="J202" s="18">
        <v>4</v>
      </c>
      <c r="K202" s="19">
        <v>6500</v>
      </c>
      <c r="L202" s="20">
        <v>0</v>
      </c>
      <c r="M202" s="19">
        <f t="shared" si="12"/>
        <v>26000</v>
      </c>
      <c r="N202" s="19">
        <v>26000</v>
      </c>
      <c r="O202" s="4">
        <v>2200</v>
      </c>
      <c r="P202" s="17" t="s">
        <v>76</v>
      </c>
      <c r="Q202" s="17" t="s">
        <v>84</v>
      </c>
      <c r="R202" t="str">
        <f t="shared" si="13"/>
        <v>OK</v>
      </c>
      <c r="S202" s="2">
        <f t="shared" si="14"/>
        <v>1</v>
      </c>
      <c r="T202" s="35">
        <f t="shared" si="15"/>
        <v>17200</v>
      </c>
    </row>
    <row r="203" spans="1:20" x14ac:dyDescent="0.25">
      <c r="A203" s="21">
        <v>100202</v>
      </c>
      <c r="B203" s="22">
        <v>46228</v>
      </c>
      <c r="C203" s="23" t="s">
        <v>32</v>
      </c>
      <c r="D203" s="17" t="s">
        <v>17</v>
      </c>
      <c r="E203" s="23" t="s">
        <v>37</v>
      </c>
      <c r="F203" s="23" t="s">
        <v>44</v>
      </c>
      <c r="G203" s="17" t="s">
        <v>241</v>
      </c>
      <c r="H203" s="23" t="s">
        <v>130</v>
      </c>
      <c r="I203" s="23" t="s">
        <v>22</v>
      </c>
      <c r="J203" s="24">
        <v>1</v>
      </c>
      <c r="K203" s="25">
        <v>6500</v>
      </c>
      <c r="L203" s="26">
        <v>0.05</v>
      </c>
      <c r="M203" s="19">
        <f t="shared" si="12"/>
        <v>6175</v>
      </c>
      <c r="N203" s="25">
        <v>6175</v>
      </c>
      <c r="O203" s="4">
        <v>2200</v>
      </c>
      <c r="P203" s="27" t="s">
        <v>23</v>
      </c>
      <c r="Q203" s="17" t="s">
        <v>54</v>
      </c>
      <c r="R203" t="str">
        <f t="shared" si="13"/>
        <v>OK</v>
      </c>
      <c r="S203" s="2">
        <f t="shared" si="14"/>
        <v>1</v>
      </c>
      <c r="T203" s="35">
        <f t="shared" si="15"/>
        <v>3975</v>
      </c>
    </row>
    <row r="204" spans="1:20" x14ac:dyDescent="0.25">
      <c r="A204" s="14">
        <v>100203</v>
      </c>
      <c r="B204" s="15">
        <v>46151</v>
      </c>
      <c r="C204" s="16" t="s">
        <v>32</v>
      </c>
      <c r="D204" s="17" t="s">
        <v>17</v>
      </c>
      <c r="E204" s="16" t="s">
        <v>43</v>
      </c>
      <c r="F204" s="16" t="s">
        <v>27</v>
      </c>
      <c r="G204" s="17" t="s">
        <v>28</v>
      </c>
      <c r="H204" s="16" t="s">
        <v>154</v>
      </c>
      <c r="I204" s="16" t="s">
        <v>30</v>
      </c>
      <c r="J204" s="18">
        <v>1</v>
      </c>
      <c r="K204" s="19">
        <v>165000</v>
      </c>
      <c r="L204" s="20">
        <v>0.25</v>
      </c>
      <c r="M204" s="19">
        <f t="shared" si="12"/>
        <v>123750</v>
      </c>
      <c r="N204" s="19">
        <v>123750</v>
      </c>
      <c r="O204" s="4">
        <v>112000</v>
      </c>
      <c r="P204" s="17" t="s">
        <v>23</v>
      </c>
      <c r="Q204" s="17" t="s">
        <v>64</v>
      </c>
      <c r="R204" t="str">
        <f t="shared" si="13"/>
        <v>OK</v>
      </c>
      <c r="S204" s="2">
        <f t="shared" si="14"/>
        <v>1</v>
      </c>
      <c r="T204" s="35">
        <f t="shared" si="15"/>
        <v>11750</v>
      </c>
    </row>
    <row r="205" spans="1:20" x14ac:dyDescent="0.25">
      <c r="A205" s="21">
        <v>100204</v>
      </c>
      <c r="B205" s="22">
        <v>46099</v>
      </c>
      <c r="C205" s="23" t="s">
        <v>16</v>
      </c>
      <c r="D205" s="17" t="s">
        <v>17</v>
      </c>
      <c r="E205" s="23" t="s">
        <v>43</v>
      </c>
      <c r="F205" s="23" t="s">
        <v>44</v>
      </c>
      <c r="G205" s="17" t="s">
        <v>60</v>
      </c>
      <c r="H205" s="23" t="s">
        <v>145</v>
      </c>
      <c r="I205" s="23" t="s">
        <v>30</v>
      </c>
      <c r="J205" s="24">
        <v>3</v>
      </c>
      <c r="K205" s="25">
        <v>9000</v>
      </c>
      <c r="L205" s="26">
        <v>0.25</v>
      </c>
      <c r="M205" s="19">
        <f t="shared" si="12"/>
        <v>20250</v>
      </c>
      <c r="N205" s="25">
        <v>20250</v>
      </c>
      <c r="O205" s="4">
        <v>3500</v>
      </c>
      <c r="P205" s="27" t="s">
        <v>23</v>
      </c>
      <c r="Q205" s="17" t="s">
        <v>54</v>
      </c>
      <c r="R205" t="str">
        <f t="shared" si="13"/>
        <v>OK</v>
      </c>
      <c r="S205" s="2">
        <f t="shared" si="14"/>
        <v>1</v>
      </c>
      <c r="T205" s="35">
        <f t="shared" si="15"/>
        <v>9750</v>
      </c>
    </row>
    <row r="206" spans="1:20" x14ac:dyDescent="0.25">
      <c r="A206" s="14">
        <v>100205</v>
      </c>
      <c r="B206" s="15">
        <v>46032</v>
      </c>
      <c r="C206" s="16" t="s">
        <v>55</v>
      </c>
      <c r="D206" s="17" t="s">
        <v>56</v>
      </c>
      <c r="E206" s="16" t="s">
        <v>37</v>
      </c>
      <c r="F206" s="16" t="s">
        <v>19</v>
      </c>
      <c r="G206" s="17" t="s">
        <v>62</v>
      </c>
      <c r="H206" s="16" t="s">
        <v>188</v>
      </c>
      <c r="I206" s="16" t="s">
        <v>22</v>
      </c>
      <c r="J206" s="18">
        <v>5</v>
      </c>
      <c r="K206" s="19">
        <v>24000</v>
      </c>
      <c r="L206" s="20">
        <v>0.1</v>
      </c>
      <c r="M206" s="19">
        <f t="shared" si="12"/>
        <v>108000</v>
      </c>
      <c r="N206" s="19">
        <v>108000</v>
      </c>
      <c r="O206" s="4">
        <v>15000</v>
      </c>
      <c r="P206" s="17" t="s">
        <v>23</v>
      </c>
      <c r="Q206" s="17" t="s">
        <v>40</v>
      </c>
      <c r="R206" t="str">
        <f t="shared" si="13"/>
        <v>OK</v>
      </c>
      <c r="S206" s="2">
        <f t="shared" si="14"/>
        <v>1</v>
      </c>
      <c r="T206" s="35">
        <f t="shared" si="15"/>
        <v>33000</v>
      </c>
    </row>
    <row r="207" spans="1:20" x14ac:dyDescent="0.25">
      <c r="A207" s="21">
        <v>100206</v>
      </c>
      <c r="B207" s="22">
        <v>46244</v>
      </c>
      <c r="C207" s="23" t="s">
        <v>42</v>
      </c>
      <c r="D207" s="17" t="s">
        <v>26</v>
      </c>
      <c r="E207" s="23" t="s">
        <v>18</v>
      </c>
      <c r="F207" s="23" t="s">
        <v>19</v>
      </c>
      <c r="G207" s="17" t="s">
        <v>20</v>
      </c>
      <c r="H207" s="23" t="s">
        <v>130</v>
      </c>
      <c r="I207" s="23" t="s">
        <v>22</v>
      </c>
      <c r="J207" s="24">
        <v>1</v>
      </c>
      <c r="K207" s="25">
        <v>58000</v>
      </c>
      <c r="L207" s="26">
        <v>0.15</v>
      </c>
      <c r="M207" s="19">
        <f t="shared" si="12"/>
        <v>49300</v>
      </c>
      <c r="N207" s="25">
        <v>49300</v>
      </c>
      <c r="O207" s="4">
        <v>39000</v>
      </c>
      <c r="P207" s="27" t="s">
        <v>23</v>
      </c>
      <c r="Q207" s="17" t="s">
        <v>84</v>
      </c>
      <c r="R207" t="str">
        <f t="shared" si="13"/>
        <v>OK</v>
      </c>
      <c r="S207" s="2">
        <f t="shared" si="14"/>
        <v>1</v>
      </c>
      <c r="T207" s="35">
        <f t="shared" si="15"/>
        <v>10300</v>
      </c>
    </row>
    <row r="208" spans="1:20" x14ac:dyDescent="0.25">
      <c r="A208" s="14">
        <v>100207</v>
      </c>
      <c r="B208" s="15">
        <v>46112</v>
      </c>
      <c r="C208" s="16" t="s">
        <v>50</v>
      </c>
      <c r="D208" s="17" t="s">
        <v>51</v>
      </c>
      <c r="E208" s="16" t="s">
        <v>43</v>
      </c>
      <c r="F208" s="16" t="s">
        <v>27</v>
      </c>
      <c r="G208" s="17" t="s">
        <v>28</v>
      </c>
      <c r="H208" s="16" t="s">
        <v>135</v>
      </c>
      <c r="I208" s="16" t="s">
        <v>30</v>
      </c>
      <c r="J208" s="18">
        <v>1</v>
      </c>
      <c r="K208" s="19">
        <v>165000</v>
      </c>
      <c r="L208" s="20">
        <v>0.1</v>
      </c>
      <c r="M208" s="19">
        <f t="shared" si="12"/>
        <v>148500</v>
      </c>
      <c r="N208" s="19">
        <v>148500</v>
      </c>
      <c r="O208" s="4">
        <v>112000</v>
      </c>
      <c r="P208" s="17" t="s">
        <v>23</v>
      </c>
      <c r="Q208" s="17" t="s">
        <v>31</v>
      </c>
      <c r="R208" t="str">
        <f t="shared" si="13"/>
        <v>OK</v>
      </c>
      <c r="S208" s="2">
        <f t="shared" si="14"/>
        <v>1</v>
      </c>
      <c r="T208" s="35">
        <f t="shared" si="15"/>
        <v>36500</v>
      </c>
    </row>
    <row r="209" spans="1:20" x14ac:dyDescent="0.25">
      <c r="A209" s="21">
        <v>100208</v>
      </c>
      <c r="B209" s="22">
        <v>46100</v>
      </c>
      <c r="C209" s="23" t="s">
        <v>16</v>
      </c>
      <c r="D209" s="17" t="s">
        <v>17</v>
      </c>
      <c r="E209" s="23" t="s">
        <v>43</v>
      </c>
      <c r="F209" s="23" t="s">
        <v>19</v>
      </c>
      <c r="G209" s="17" t="s">
        <v>20</v>
      </c>
      <c r="H209" s="23" t="s">
        <v>157</v>
      </c>
      <c r="I209" s="23" t="s">
        <v>30</v>
      </c>
      <c r="J209" s="24">
        <v>2</v>
      </c>
      <c r="K209" s="25">
        <v>58000</v>
      </c>
      <c r="L209" s="26">
        <v>0.15</v>
      </c>
      <c r="M209" s="19">
        <f t="shared" si="12"/>
        <v>98600</v>
      </c>
      <c r="N209" s="25">
        <v>98600</v>
      </c>
      <c r="O209" s="4">
        <v>39000</v>
      </c>
      <c r="P209" s="27" t="s">
        <v>23</v>
      </c>
      <c r="Q209" s="17" t="s">
        <v>31</v>
      </c>
      <c r="R209" t="str">
        <f t="shared" si="13"/>
        <v>OK</v>
      </c>
      <c r="S209" s="2">
        <f t="shared" si="14"/>
        <v>1</v>
      </c>
      <c r="T209" s="35">
        <f t="shared" si="15"/>
        <v>20600</v>
      </c>
    </row>
    <row r="210" spans="1:20" x14ac:dyDescent="0.25">
      <c r="A210" s="14">
        <v>100209</v>
      </c>
      <c r="B210" s="15">
        <v>46207</v>
      </c>
      <c r="C210" s="16" t="s">
        <v>35</v>
      </c>
      <c r="D210" s="17" t="s">
        <v>36</v>
      </c>
      <c r="E210" s="16" t="s">
        <v>43</v>
      </c>
      <c r="F210" s="16" t="s">
        <v>27</v>
      </c>
      <c r="G210" s="17" t="s">
        <v>38</v>
      </c>
      <c r="H210" s="16" t="s">
        <v>147</v>
      </c>
      <c r="I210" s="16" t="s">
        <v>30</v>
      </c>
      <c r="J210" s="18">
        <v>3</v>
      </c>
      <c r="K210" s="19">
        <v>26000</v>
      </c>
      <c r="L210" s="20">
        <v>0</v>
      </c>
      <c r="M210" s="19">
        <f t="shared" si="12"/>
        <v>78000</v>
      </c>
      <c r="N210" s="19">
        <v>78000</v>
      </c>
      <c r="O210" s="4">
        <v>15000</v>
      </c>
      <c r="P210" s="17" t="s">
        <v>23</v>
      </c>
      <c r="Q210" s="17" t="s">
        <v>31</v>
      </c>
      <c r="R210" t="str">
        <f t="shared" si="13"/>
        <v>OK</v>
      </c>
      <c r="S210" s="2">
        <f t="shared" si="14"/>
        <v>1</v>
      </c>
      <c r="T210" s="35">
        <f t="shared" si="15"/>
        <v>33000</v>
      </c>
    </row>
    <row r="211" spans="1:20" x14ac:dyDescent="0.25">
      <c r="A211" s="21">
        <v>100210</v>
      </c>
      <c r="B211" s="22">
        <v>46239</v>
      </c>
      <c r="C211" s="23" t="s">
        <v>55</v>
      </c>
      <c r="D211" s="17" t="s">
        <v>56</v>
      </c>
      <c r="E211" s="23" t="s">
        <v>43</v>
      </c>
      <c r="F211" s="23" t="s">
        <v>27</v>
      </c>
      <c r="G211" s="17" t="s">
        <v>33</v>
      </c>
      <c r="H211" s="23" t="s">
        <v>172</v>
      </c>
      <c r="I211" s="23" t="s">
        <v>30</v>
      </c>
      <c r="J211" s="24">
        <v>1</v>
      </c>
      <c r="K211" s="25">
        <v>32000</v>
      </c>
      <c r="L211" s="26">
        <v>0</v>
      </c>
      <c r="M211" s="19">
        <f t="shared" si="12"/>
        <v>32000</v>
      </c>
      <c r="N211" s="25">
        <v>32000</v>
      </c>
      <c r="O211" s="4">
        <v>19000</v>
      </c>
      <c r="P211" s="27" t="s">
        <v>23</v>
      </c>
      <c r="Q211" s="17" t="s">
        <v>40</v>
      </c>
      <c r="R211" t="str">
        <f t="shared" si="13"/>
        <v>OK</v>
      </c>
      <c r="S211" s="2">
        <f t="shared" si="14"/>
        <v>1</v>
      </c>
      <c r="T211" s="35">
        <f t="shared" si="15"/>
        <v>13000</v>
      </c>
    </row>
    <row r="212" spans="1:20" x14ac:dyDescent="0.25">
      <c r="A212" s="14">
        <v>100211</v>
      </c>
      <c r="B212" s="15">
        <v>46260</v>
      </c>
      <c r="C212" s="16" t="s">
        <v>35</v>
      </c>
      <c r="D212" s="17" t="s">
        <v>36</v>
      </c>
      <c r="E212" s="16" t="s">
        <v>43</v>
      </c>
      <c r="F212" s="16" t="s">
        <v>19</v>
      </c>
      <c r="G212" s="17" t="s">
        <v>52</v>
      </c>
      <c r="H212" s="16" t="s">
        <v>96</v>
      </c>
      <c r="I212" s="16" t="s">
        <v>30</v>
      </c>
      <c r="J212" s="18">
        <v>4</v>
      </c>
      <c r="K212" s="19">
        <v>42000</v>
      </c>
      <c r="L212" s="20">
        <v>0</v>
      </c>
      <c r="M212" s="19">
        <f t="shared" si="12"/>
        <v>168000</v>
      </c>
      <c r="N212" s="19">
        <v>168000</v>
      </c>
      <c r="O212" s="4">
        <v>28000</v>
      </c>
      <c r="P212" s="17" t="s">
        <v>23</v>
      </c>
      <c r="Q212" s="17" t="s">
        <v>54</v>
      </c>
      <c r="R212" t="str">
        <f t="shared" si="13"/>
        <v>OK</v>
      </c>
      <c r="S212" s="2">
        <f t="shared" si="14"/>
        <v>1</v>
      </c>
      <c r="T212" s="35">
        <f t="shared" si="15"/>
        <v>56000</v>
      </c>
    </row>
    <row r="213" spans="1:20" x14ac:dyDescent="0.25">
      <c r="A213" s="21">
        <v>100212</v>
      </c>
      <c r="B213" s="22">
        <v>46117</v>
      </c>
      <c r="C213" s="23" t="s">
        <v>50</v>
      </c>
      <c r="D213" s="17" t="s">
        <v>51</v>
      </c>
      <c r="E213" s="23" t="s">
        <v>37</v>
      </c>
      <c r="F213" s="23" t="s">
        <v>19</v>
      </c>
      <c r="G213" s="17" t="s">
        <v>62</v>
      </c>
      <c r="H213" s="23" t="s">
        <v>110</v>
      </c>
      <c r="I213" s="23" t="s">
        <v>30</v>
      </c>
      <c r="J213" s="24">
        <v>2</v>
      </c>
      <c r="K213" s="25">
        <v>24000</v>
      </c>
      <c r="L213" s="26">
        <v>0.15</v>
      </c>
      <c r="M213" s="19">
        <f t="shared" si="12"/>
        <v>40800</v>
      </c>
      <c r="N213" s="25">
        <v>40800</v>
      </c>
      <c r="O213" s="4">
        <v>15000</v>
      </c>
      <c r="P213" s="27" t="s">
        <v>23</v>
      </c>
      <c r="Q213" s="17" t="s">
        <v>64</v>
      </c>
      <c r="R213" t="str">
        <f t="shared" si="13"/>
        <v>OK</v>
      </c>
      <c r="S213" s="2">
        <f t="shared" si="14"/>
        <v>1</v>
      </c>
      <c r="T213" s="35">
        <f t="shared" si="15"/>
        <v>10800</v>
      </c>
    </row>
    <row r="214" spans="1:20" x14ac:dyDescent="0.25">
      <c r="A214" s="14">
        <v>100213</v>
      </c>
      <c r="B214" s="15">
        <v>46023</v>
      </c>
      <c r="C214" s="16" t="s">
        <v>16</v>
      </c>
      <c r="D214" s="17" t="s">
        <v>17</v>
      </c>
      <c r="E214" s="16" t="s">
        <v>43</v>
      </c>
      <c r="F214" s="16" t="s">
        <v>27</v>
      </c>
      <c r="G214" s="17" t="s">
        <v>28</v>
      </c>
      <c r="H214" s="16" t="s">
        <v>189</v>
      </c>
      <c r="I214" s="16" t="s">
        <v>22</v>
      </c>
      <c r="J214" s="18">
        <v>2</v>
      </c>
      <c r="K214" s="19">
        <v>165000</v>
      </c>
      <c r="L214" s="20">
        <v>0.15</v>
      </c>
      <c r="M214" s="19">
        <f t="shared" si="12"/>
        <v>280500</v>
      </c>
      <c r="N214" s="19">
        <v>280500</v>
      </c>
      <c r="O214" s="4">
        <v>112000</v>
      </c>
      <c r="P214" s="17" t="s">
        <v>23</v>
      </c>
      <c r="Q214" s="17" t="s">
        <v>54</v>
      </c>
      <c r="R214" t="str">
        <f t="shared" si="13"/>
        <v>OK</v>
      </c>
      <c r="S214" s="2">
        <f t="shared" si="14"/>
        <v>1</v>
      </c>
      <c r="T214" s="35">
        <f t="shared" si="15"/>
        <v>56500</v>
      </c>
    </row>
    <row r="215" spans="1:20" x14ac:dyDescent="0.25">
      <c r="A215" s="21">
        <v>100214</v>
      </c>
      <c r="B215" s="22">
        <v>46086</v>
      </c>
      <c r="C215" s="23" t="s">
        <v>25</v>
      </c>
      <c r="D215" s="17" t="s">
        <v>26</v>
      </c>
      <c r="E215" s="23" t="s">
        <v>43</v>
      </c>
      <c r="F215" s="23" t="s">
        <v>44</v>
      </c>
      <c r="G215" s="17" t="s">
        <v>241</v>
      </c>
      <c r="H215" s="23" t="s">
        <v>183</v>
      </c>
      <c r="I215" s="23" t="s">
        <v>22</v>
      </c>
      <c r="J215" s="24">
        <v>2</v>
      </c>
      <c r="K215" s="25">
        <v>6500</v>
      </c>
      <c r="L215" s="26">
        <v>0.05</v>
      </c>
      <c r="M215" s="19">
        <f t="shared" si="12"/>
        <v>12350</v>
      </c>
      <c r="N215" s="25">
        <v>12350</v>
      </c>
      <c r="O215" s="4">
        <v>2200</v>
      </c>
      <c r="P215" s="27" t="s">
        <v>23</v>
      </c>
      <c r="Q215" s="17" t="s">
        <v>40</v>
      </c>
      <c r="R215" t="str">
        <f t="shared" si="13"/>
        <v>OK</v>
      </c>
      <c r="S215" s="2">
        <f t="shared" si="14"/>
        <v>1</v>
      </c>
      <c r="T215" s="35">
        <f t="shared" si="15"/>
        <v>7950</v>
      </c>
    </row>
    <row r="216" spans="1:20" x14ac:dyDescent="0.25">
      <c r="A216" s="14">
        <v>100215</v>
      </c>
      <c r="B216" s="15">
        <v>46128</v>
      </c>
      <c r="C216" s="16" t="s">
        <v>35</v>
      </c>
      <c r="D216" s="17" t="s">
        <v>36</v>
      </c>
      <c r="E216" s="16" t="s">
        <v>43</v>
      </c>
      <c r="F216" s="16" t="s">
        <v>27</v>
      </c>
      <c r="G216" s="17" t="s">
        <v>38</v>
      </c>
      <c r="H216" s="16" t="s">
        <v>118</v>
      </c>
      <c r="I216" s="16" t="s">
        <v>22</v>
      </c>
      <c r="J216" s="18">
        <v>3</v>
      </c>
      <c r="K216" s="19">
        <v>26000</v>
      </c>
      <c r="L216" s="20">
        <v>0</v>
      </c>
      <c r="M216" s="19">
        <f t="shared" si="12"/>
        <v>78000</v>
      </c>
      <c r="N216" s="19">
        <v>78000</v>
      </c>
      <c r="O216" s="4">
        <v>15000</v>
      </c>
      <c r="P216" s="17" t="s">
        <v>23</v>
      </c>
      <c r="Q216" s="17" t="s">
        <v>40</v>
      </c>
      <c r="R216" t="str">
        <f t="shared" si="13"/>
        <v>OK</v>
      </c>
      <c r="S216" s="2">
        <f t="shared" si="14"/>
        <v>1</v>
      </c>
      <c r="T216" s="35">
        <f t="shared" si="15"/>
        <v>33000</v>
      </c>
    </row>
    <row r="217" spans="1:20" x14ac:dyDescent="0.25">
      <c r="A217" s="21">
        <v>100216</v>
      </c>
      <c r="B217" s="22">
        <v>46161</v>
      </c>
      <c r="C217" s="23" t="s">
        <v>25</v>
      </c>
      <c r="D217" s="17" t="s">
        <v>26</v>
      </c>
      <c r="E217" s="23" t="s">
        <v>37</v>
      </c>
      <c r="F217" s="23" t="s">
        <v>44</v>
      </c>
      <c r="G217" s="17" t="s">
        <v>241</v>
      </c>
      <c r="H217" s="23" t="s">
        <v>157</v>
      </c>
      <c r="I217" s="23" t="s">
        <v>22</v>
      </c>
      <c r="J217" s="24">
        <v>4</v>
      </c>
      <c r="K217" s="25">
        <v>6500</v>
      </c>
      <c r="L217" s="26">
        <v>0</v>
      </c>
      <c r="M217" s="19">
        <f t="shared" si="12"/>
        <v>26000</v>
      </c>
      <c r="N217" s="25">
        <v>26000</v>
      </c>
      <c r="O217" s="4">
        <v>2200</v>
      </c>
      <c r="P217" s="27" t="s">
        <v>23</v>
      </c>
      <c r="Q217" s="17" t="s">
        <v>24</v>
      </c>
      <c r="R217" t="str">
        <f t="shared" si="13"/>
        <v>OK</v>
      </c>
      <c r="S217" s="2">
        <f t="shared" si="14"/>
        <v>1</v>
      </c>
      <c r="T217" s="35">
        <f t="shared" si="15"/>
        <v>17200</v>
      </c>
    </row>
    <row r="218" spans="1:20" x14ac:dyDescent="0.25">
      <c r="A218" s="14">
        <v>100217</v>
      </c>
      <c r="B218" s="15">
        <v>46198</v>
      </c>
      <c r="C218" s="16" t="s">
        <v>42</v>
      </c>
      <c r="D218" s="17" t="s">
        <v>26</v>
      </c>
      <c r="E218" s="16" t="s">
        <v>37</v>
      </c>
      <c r="F218" s="16" t="s">
        <v>19</v>
      </c>
      <c r="G218" s="17" t="s">
        <v>62</v>
      </c>
      <c r="H218" s="16" t="s">
        <v>190</v>
      </c>
      <c r="I218" s="16" t="s">
        <v>30</v>
      </c>
      <c r="J218" s="18">
        <v>2</v>
      </c>
      <c r="K218" s="19">
        <v>24000</v>
      </c>
      <c r="L218" s="20">
        <v>0.05</v>
      </c>
      <c r="M218" s="19">
        <f t="shared" si="12"/>
        <v>45600</v>
      </c>
      <c r="N218" s="19">
        <v>45600</v>
      </c>
      <c r="O218" s="4">
        <v>15000</v>
      </c>
      <c r="P218" s="17" t="s">
        <v>23</v>
      </c>
      <c r="Q218" s="17" t="s">
        <v>54</v>
      </c>
      <c r="R218" t="str">
        <f t="shared" si="13"/>
        <v>OK</v>
      </c>
      <c r="S218" s="2">
        <f t="shared" si="14"/>
        <v>1</v>
      </c>
      <c r="T218" s="35">
        <f t="shared" si="15"/>
        <v>15600</v>
      </c>
    </row>
    <row r="219" spans="1:20" x14ac:dyDescent="0.25">
      <c r="A219" s="21">
        <v>100218</v>
      </c>
      <c r="B219" s="22">
        <v>46120</v>
      </c>
      <c r="C219" s="23" t="s">
        <v>42</v>
      </c>
      <c r="D219" s="17" t="s">
        <v>26</v>
      </c>
      <c r="E219" s="23" t="s">
        <v>18</v>
      </c>
      <c r="F219" s="23" t="s">
        <v>19</v>
      </c>
      <c r="G219" s="17" t="s">
        <v>20</v>
      </c>
      <c r="H219" s="23" t="s">
        <v>149</v>
      </c>
      <c r="I219" s="23" t="s">
        <v>22</v>
      </c>
      <c r="J219" s="24">
        <v>3</v>
      </c>
      <c r="K219" s="25">
        <v>58000</v>
      </c>
      <c r="L219" s="26">
        <v>0.05</v>
      </c>
      <c r="M219" s="19">
        <f t="shared" si="12"/>
        <v>165300</v>
      </c>
      <c r="N219" s="25">
        <v>165300</v>
      </c>
      <c r="O219" s="4">
        <v>39000</v>
      </c>
      <c r="P219" s="27" t="s">
        <v>23</v>
      </c>
      <c r="Q219" s="17" t="s">
        <v>54</v>
      </c>
      <c r="R219" t="str">
        <f t="shared" si="13"/>
        <v>OK</v>
      </c>
      <c r="S219" s="2">
        <f t="shared" si="14"/>
        <v>1</v>
      </c>
      <c r="T219" s="35">
        <f t="shared" si="15"/>
        <v>48300</v>
      </c>
    </row>
    <row r="220" spans="1:20" x14ac:dyDescent="0.25">
      <c r="A220" s="14">
        <v>100219</v>
      </c>
      <c r="B220" s="15">
        <v>46253</v>
      </c>
      <c r="C220" s="16" t="s">
        <v>55</v>
      </c>
      <c r="D220" s="17" t="s">
        <v>56</v>
      </c>
      <c r="E220" s="16" t="s">
        <v>43</v>
      </c>
      <c r="F220" s="16" t="s">
        <v>19</v>
      </c>
      <c r="G220" s="17" t="s">
        <v>20</v>
      </c>
      <c r="H220" s="16" t="s">
        <v>191</v>
      </c>
      <c r="I220" s="16" t="s">
        <v>30</v>
      </c>
      <c r="J220" s="18">
        <v>5</v>
      </c>
      <c r="K220" s="19">
        <v>58000</v>
      </c>
      <c r="L220" s="20">
        <v>0.15</v>
      </c>
      <c r="M220" s="19">
        <f t="shared" si="12"/>
        <v>246500</v>
      </c>
      <c r="N220" s="19">
        <v>246500</v>
      </c>
      <c r="O220" s="4">
        <v>39000</v>
      </c>
      <c r="P220" s="17" t="s">
        <v>23</v>
      </c>
      <c r="Q220" s="17" t="s">
        <v>40</v>
      </c>
      <c r="R220" t="str">
        <f t="shared" si="13"/>
        <v>OK</v>
      </c>
      <c r="S220" s="2">
        <f t="shared" si="14"/>
        <v>1</v>
      </c>
      <c r="T220" s="35">
        <f t="shared" si="15"/>
        <v>51500</v>
      </c>
    </row>
    <row r="221" spans="1:20" x14ac:dyDescent="0.25">
      <c r="A221" s="21">
        <v>100220</v>
      </c>
      <c r="B221" s="22">
        <v>46024</v>
      </c>
      <c r="C221" s="23" t="s">
        <v>35</v>
      </c>
      <c r="D221" s="17" t="s">
        <v>36</v>
      </c>
      <c r="E221" s="23" t="s">
        <v>18</v>
      </c>
      <c r="F221" s="23" t="s">
        <v>27</v>
      </c>
      <c r="G221" s="17" t="s">
        <v>38</v>
      </c>
      <c r="H221" s="23" t="s">
        <v>124</v>
      </c>
      <c r="I221" s="23" t="s">
        <v>30</v>
      </c>
      <c r="J221" s="24">
        <v>2</v>
      </c>
      <c r="K221" s="25">
        <v>26000</v>
      </c>
      <c r="L221" s="26">
        <v>0</v>
      </c>
      <c r="M221" s="19">
        <f t="shared" si="12"/>
        <v>52000</v>
      </c>
      <c r="N221" s="25">
        <v>52000</v>
      </c>
      <c r="O221" s="4">
        <v>15000</v>
      </c>
      <c r="P221" s="27" t="s">
        <v>23</v>
      </c>
      <c r="Q221" s="17" t="s">
        <v>24</v>
      </c>
      <c r="R221" t="str">
        <f t="shared" si="13"/>
        <v>OK</v>
      </c>
      <c r="S221" s="2">
        <f t="shared" si="14"/>
        <v>1</v>
      </c>
      <c r="T221" s="35">
        <f t="shared" si="15"/>
        <v>22000</v>
      </c>
    </row>
    <row r="222" spans="1:20" x14ac:dyDescent="0.25">
      <c r="A222" s="14">
        <v>100221</v>
      </c>
      <c r="B222" s="15">
        <v>46111</v>
      </c>
      <c r="C222" s="16" t="s">
        <v>50</v>
      </c>
      <c r="D222" s="17" t="s">
        <v>51</v>
      </c>
      <c r="E222" s="16" t="s">
        <v>43</v>
      </c>
      <c r="F222" s="16" t="s">
        <v>44</v>
      </c>
      <c r="G222" s="17" t="s">
        <v>65</v>
      </c>
      <c r="H222" s="16" t="s">
        <v>159</v>
      </c>
      <c r="I222" s="16" t="s">
        <v>30</v>
      </c>
      <c r="J222" s="18">
        <v>3</v>
      </c>
      <c r="K222" s="19">
        <v>28000</v>
      </c>
      <c r="L222" s="20">
        <v>0.1</v>
      </c>
      <c r="M222" s="19">
        <f t="shared" si="12"/>
        <v>75600</v>
      </c>
      <c r="N222" s="19">
        <v>75600</v>
      </c>
      <c r="O222" s="4">
        <v>16000</v>
      </c>
      <c r="P222" s="17" t="s">
        <v>23</v>
      </c>
      <c r="Q222" s="17" t="s">
        <v>54</v>
      </c>
      <c r="R222" t="str">
        <f t="shared" si="13"/>
        <v>OK</v>
      </c>
      <c r="S222" s="2">
        <f t="shared" si="14"/>
        <v>1</v>
      </c>
      <c r="T222" s="35">
        <f t="shared" si="15"/>
        <v>27600</v>
      </c>
    </row>
    <row r="223" spans="1:20" x14ac:dyDescent="0.25">
      <c r="A223" s="21">
        <v>100222</v>
      </c>
      <c r="B223" s="22">
        <v>46255</v>
      </c>
      <c r="C223" s="23" t="s">
        <v>16</v>
      </c>
      <c r="D223" s="17" t="s">
        <v>17</v>
      </c>
      <c r="E223" s="23" t="s">
        <v>18</v>
      </c>
      <c r="F223" s="23" t="s">
        <v>19</v>
      </c>
      <c r="G223" s="17" t="s">
        <v>20</v>
      </c>
      <c r="H223" s="23" t="s">
        <v>192</v>
      </c>
      <c r="I223" s="23" t="s">
        <v>22</v>
      </c>
      <c r="J223" s="24">
        <v>3</v>
      </c>
      <c r="K223" s="25">
        <v>58000</v>
      </c>
      <c r="L223" s="26">
        <v>0.25</v>
      </c>
      <c r="M223" s="19">
        <f t="shared" si="12"/>
        <v>130500</v>
      </c>
      <c r="N223" s="25">
        <v>130500</v>
      </c>
      <c r="O223" s="4">
        <v>39000</v>
      </c>
      <c r="P223" s="27" t="s">
        <v>76</v>
      </c>
      <c r="Q223" s="17" t="s">
        <v>64</v>
      </c>
      <c r="R223" t="str">
        <f t="shared" si="13"/>
        <v>OK</v>
      </c>
      <c r="S223" s="2">
        <f t="shared" si="14"/>
        <v>1</v>
      </c>
      <c r="T223" s="35">
        <f t="shared" si="15"/>
        <v>13500</v>
      </c>
    </row>
    <row r="224" spans="1:20" x14ac:dyDescent="0.25">
      <c r="A224" s="14">
        <v>100223</v>
      </c>
      <c r="B224" s="15">
        <v>46165</v>
      </c>
      <c r="C224" s="16" t="s">
        <v>55</v>
      </c>
      <c r="D224" s="17" t="s">
        <v>56</v>
      </c>
      <c r="E224" s="16" t="s">
        <v>18</v>
      </c>
      <c r="F224" s="16" t="s">
        <v>19</v>
      </c>
      <c r="G224" s="17" t="s">
        <v>52</v>
      </c>
      <c r="H224" s="16" t="s">
        <v>193</v>
      </c>
      <c r="I224" s="16" t="s">
        <v>30</v>
      </c>
      <c r="J224" s="18">
        <v>3</v>
      </c>
      <c r="K224" s="19">
        <v>42000</v>
      </c>
      <c r="L224" s="20">
        <v>0.15</v>
      </c>
      <c r="M224" s="19">
        <f t="shared" si="12"/>
        <v>107100</v>
      </c>
      <c r="N224" s="19">
        <v>107100</v>
      </c>
      <c r="O224" s="4">
        <v>28000</v>
      </c>
      <c r="P224" s="17" t="s">
        <v>23</v>
      </c>
      <c r="Q224" s="17" t="s">
        <v>58</v>
      </c>
      <c r="R224" t="str">
        <f t="shared" si="13"/>
        <v>OK</v>
      </c>
      <c r="S224" s="2">
        <f t="shared" si="14"/>
        <v>1</v>
      </c>
      <c r="T224" s="35">
        <f t="shared" si="15"/>
        <v>23100</v>
      </c>
    </row>
    <row r="225" spans="1:20" x14ac:dyDescent="0.25">
      <c r="A225" s="21">
        <v>100224</v>
      </c>
      <c r="B225" s="22">
        <v>46149</v>
      </c>
      <c r="C225" s="23" t="s">
        <v>42</v>
      </c>
      <c r="D225" s="17" t="s">
        <v>26</v>
      </c>
      <c r="E225" s="23" t="s">
        <v>37</v>
      </c>
      <c r="F225" s="23" t="s">
        <v>27</v>
      </c>
      <c r="G225" s="17" t="s">
        <v>33</v>
      </c>
      <c r="H225" s="23" t="s">
        <v>175</v>
      </c>
      <c r="I225" s="23" t="s">
        <v>30</v>
      </c>
      <c r="J225" s="24">
        <v>1</v>
      </c>
      <c r="K225" s="25">
        <v>32000</v>
      </c>
      <c r="L225" s="26">
        <v>0.1</v>
      </c>
      <c r="M225" s="19">
        <f t="shared" si="12"/>
        <v>28800</v>
      </c>
      <c r="N225" s="25">
        <v>28800</v>
      </c>
      <c r="O225" s="4">
        <v>19000</v>
      </c>
      <c r="P225" s="27" t="s">
        <v>23</v>
      </c>
      <c r="Q225" s="17" t="s">
        <v>40</v>
      </c>
      <c r="R225" t="str">
        <f t="shared" si="13"/>
        <v>OK</v>
      </c>
      <c r="S225" s="2">
        <f t="shared" si="14"/>
        <v>1</v>
      </c>
      <c r="T225" s="35">
        <f t="shared" si="15"/>
        <v>9800</v>
      </c>
    </row>
    <row r="226" spans="1:20" x14ac:dyDescent="0.25">
      <c r="A226" s="14">
        <v>100225</v>
      </c>
      <c r="B226" s="15">
        <v>46079</v>
      </c>
      <c r="C226" s="16" t="s">
        <v>35</v>
      </c>
      <c r="D226" s="17" t="s">
        <v>36</v>
      </c>
      <c r="E226" s="16" t="s">
        <v>37</v>
      </c>
      <c r="F226" s="16" t="s">
        <v>19</v>
      </c>
      <c r="G226" s="17" t="s">
        <v>62</v>
      </c>
      <c r="H226" s="16" t="s">
        <v>194</v>
      </c>
      <c r="I226" s="16" t="s">
        <v>22</v>
      </c>
      <c r="J226" s="18">
        <v>1</v>
      </c>
      <c r="K226" s="19">
        <v>24000</v>
      </c>
      <c r="L226" s="20">
        <v>0.05</v>
      </c>
      <c r="M226" s="19">
        <f t="shared" si="12"/>
        <v>22800</v>
      </c>
      <c r="N226" s="19">
        <v>22800</v>
      </c>
      <c r="O226" s="4">
        <v>15000</v>
      </c>
      <c r="P226" s="17" t="s">
        <v>23</v>
      </c>
      <c r="Q226" s="17" t="s">
        <v>31</v>
      </c>
      <c r="R226" t="str">
        <f t="shared" si="13"/>
        <v>OK</v>
      </c>
      <c r="S226" s="2">
        <f t="shared" si="14"/>
        <v>1</v>
      </c>
      <c r="T226" s="35">
        <f t="shared" si="15"/>
        <v>7800</v>
      </c>
    </row>
    <row r="227" spans="1:20" x14ac:dyDescent="0.25">
      <c r="A227" s="21">
        <v>100226</v>
      </c>
      <c r="B227" s="22">
        <v>46054</v>
      </c>
      <c r="C227" s="23" t="s">
        <v>50</v>
      </c>
      <c r="D227" s="17" t="s">
        <v>51</v>
      </c>
      <c r="E227" s="23" t="s">
        <v>43</v>
      </c>
      <c r="F227" s="23" t="s">
        <v>19</v>
      </c>
      <c r="G227" s="17" t="s">
        <v>62</v>
      </c>
      <c r="H227" s="23" t="s">
        <v>117</v>
      </c>
      <c r="I227" s="23" t="s">
        <v>30</v>
      </c>
      <c r="J227" s="24">
        <v>1</v>
      </c>
      <c r="K227" s="25">
        <v>24000</v>
      </c>
      <c r="L227" s="26">
        <v>0.05</v>
      </c>
      <c r="M227" s="19">
        <f t="shared" si="12"/>
        <v>22800</v>
      </c>
      <c r="N227" s="25">
        <v>22800</v>
      </c>
      <c r="O227" s="4">
        <v>15000</v>
      </c>
      <c r="P227" s="27" t="s">
        <v>23</v>
      </c>
      <c r="Q227" s="17" t="s">
        <v>54</v>
      </c>
      <c r="R227" t="str">
        <f t="shared" si="13"/>
        <v>OK</v>
      </c>
      <c r="S227" s="2">
        <f t="shared" si="14"/>
        <v>1</v>
      </c>
      <c r="T227" s="35">
        <f t="shared" si="15"/>
        <v>7800</v>
      </c>
    </row>
    <row r="228" spans="1:20" x14ac:dyDescent="0.25">
      <c r="A228" s="14">
        <v>100227</v>
      </c>
      <c r="B228" s="15">
        <v>46114</v>
      </c>
      <c r="C228" s="16" t="s">
        <v>55</v>
      </c>
      <c r="D228" s="17" t="s">
        <v>56</v>
      </c>
      <c r="E228" s="16" t="s">
        <v>43</v>
      </c>
      <c r="F228" s="16" t="s">
        <v>19</v>
      </c>
      <c r="G228" s="17" t="s">
        <v>20</v>
      </c>
      <c r="H228" s="16" t="s">
        <v>195</v>
      </c>
      <c r="I228" s="16" t="s">
        <v>30</v>
      </c>
      <c r="J228" s="18">
        <v>2</v>
      </c>
      <c r="K228" s="19">
        <v>58000</v>
      </c>
      <c r="L228" s="20">
        <v>0</v>
      </c>
      <c r="M228" s="19">
        <f t="shared" si="12"/>
        <v>116000</v>
      </c>
      <c r="N228" s="19">
        <v>116000</v>
      </c>
      <c r="O228" s="4">
        <v>39000</v>
      </c>
      <c r="P228" s="17" t="s">
        <v>23</v>
      </c>
      <c r="Q228" s="17" t="s">
        <v>84</v>
      </c>
      <c r="R228" t="str">
        <f t="shared" si="13"/>
        <v>OK</v>
      </c>
      <c r="S228" s="2">
        <f t="shared" si="14"/>
        <v>1</v>
      </c>
      <c r="T228" s="35">
        <f t="shared" si="15"/>
        <v>38000</v>
      </c>
    </row>
    <row r="229" spans="1:20" x14ac:dyDescent="0.25">
      <c r="A229" s="21">
        <v>100228</v>
      </c>
      <c r="B229" s="22">
        <v>46099</v>
      </c>
      <c r="C229" s="23" t="s">
        <v>25</v>
      </c>
      <c r="D229" s="17" t="s">
        <v>26</v>
      </c>
      <c r="E229" s="23" t="s">
        <v>43</v>
      </c>
      <c r="F229" s="23" t="s">
        <v>27</v>
      </c>
      <c r="G229" s="17" t="s">
        <v>33</v>
      </c>
      <c r="H229" s="23" t="s">
        <v>59</v>
      </c>
      <c r="I229" s="23" t="s">
        <v>22</v>
      </c>
      <c r="J229" s="24">
        <v>3</v>
      </c>
      <c r="K229" s="25">
        <v>32000</v>
      </c>
      <c r="L229" s="26">
        <v>0.15</v>
      </c>
      <c r="M229" s="19">
        <f t="shared" si="12"/>
        <v>81600</v>
      </c>
      <c r="N229" s="25">
        <v>81600</v>
      </c>
      <c r="O229" s="4">
        <v>19000</v>
      </c>
      <c r="P229" s="27" t="s">
        <v>23</v>
      </c>
      <c r="Q229" s="17" t="s">
        <v>24</v>
      </c>
      <c r="R229" t="str">
        <f t="shared" si="13"/>
        <v>OK</v>
      </c>
      <c r="S229" s="2">
        <f t="shared" si="14"/>
        <v>1</v>
      </c>
      <c r="T229" s="35">
        <f t="shared" si="15"/>
        <v>24600</v>
      </c>
    </row>
    <row r="230" spans="1:20" x14ac:dyDescent="0.25">
      <c r="A230" s="14">
        <v>100229</v>
      </c>
      <c r="B230" s="15">
        <v>46212</v>
      </c>
      <c r="C230" s="16" t="s">
        <v>35</v>
      </c>
      <c r="D230" s="17" t="s">
        <v>36</v>
      </c>
      <c r="E230" s="16" t="s">
        <v>37</v>
      </c>
      <c r="F230" s="16" t="s">
        <v>19</v>
      </c>
      <c r="G230" s="17" t="s">
        <v>20</v>
      </c>
      <c r="H230" s="16" t="s">
        <v>194</v>
      </c>
      <c r="I230" s="16" t="s">
        <v>30</v>
      </c>
      <c r="J230" s="18">
        <v>1</v>
      </c>
      <c r="K230" s="19">
        <v>58000</v>
      </c>
      <c r="L230" s="20">
        <v>0.1</v>
      </c>
      <c r="M230" s="19">
        <f t="shared" si="12"/>
        <v>52200</v>
      </c>
      <c r="N230" s="19">
        <v>52200</v>
      </c>
      <c r="O230" s="4">
        <v>39000</v>
      </c>
      <c r="P230" s="17" t="s">
        <v>23</v>
      </c>
      <c r="Q230" s="17" t="s">
        <v>24</v>
      </c>
      <c r="R230" t="str">
        <f t="shared" si="13"/>
        <v>OK</v>
      </c>
      <c r="S230" s="2">
        <f t="shared" si="14"/>
        <v>1</v>
      </c>
      <c r="T230" s="35">
        <f t="shared" si="15"/>
        <v>13200</v>
      </c>
    </row>
    <row r="231" spans="1:20" x14ac:dyDescent="0.25">
      <c r="A231" s="21">
        <v>100230</v>
      </c>
      <c r="B231" s="22">
        <v>46141</v>
      </c>
      <c r="C231" s="23" t="s">
        <v>35</v>
      </c>
      <c r="D231" s="17" t="s">
        <v>36</v>
      </c>
      <c r="E231" s="23" t="s">
        <v>43</v>
      </c>
      <c r="F231" s="23" t="s">
        <v>27</v>
      </c>
      <c r="G231" s="17" t="s">
        <v>38</v>
      </c>
      <c r="H231" s="23" t="s">
        <v>109</v>
      </c>
      <c r="I231" s="23" t="s">
        <v>30</v>
      </c>
      <c r="J231" s="24">
        <v>3</v>
      </c>
      <c r="K231" s="25">
        <v>26000</v>
      </c>
      <c r="L231" s="26">
        <v>0.15</v>
      </c>
      <c r="M231" s="19">
        <f t="shared" si="12"/>
        <v>66300</v>
      </c>
      <c r="N231" s="25">
        <v>66300</v>
      </c>
      <c r="O231" s="4">
        <v>15000</v>
      </c>
      <c r="P231" s="27" t="s">
        <v>23</v>
      </c>
      <c r="Q231" s="17" t="s">
        <v>84</v>
      </c>
      <c r="R231" t="str">
        <f t="shared" si="13"/>
        <v>OK</v>
      </c>
      <c r="S231" s="2">
        <f t="shared" si="14"/>
        <v>1</v>
      </c>
      <c r="T231" s="35">
        <f t="shared" si="15"/>
        <v>21300</v>
      </c>
    </row>
    <row r="232" spans="1:20" x14ac:dyDescent="0.25">
      <c r="A232" s="14">
        <v>100231</v>
      </c>
      <c r="B232" s="15">
        <v>46109</v>
      </c>
      <c r="C232" s="16" t="s">
        <v>32</v>
      </c>
      <c r="D232" s="17" t="s">
        <v>17</v>
      </c>
      <c r="E232" s="16" t="s">
        <v>18</v>
      </c>
      <c r="F232" s="16" t="s">
        <v>27</v>
      </c>
      <c r="G232" s="17" t="s">
        <v>28</v>
      </c>
      <c r="H232" s="16" t="s">
        <v>196</v>
      </c>
      <c r="I232" s="16" t="s">
        <v>30</v>
      </c>
      <c r="J232" s="18">
        <v>1</v>
      </c>
      <c r="K232" s="19">
        <v>165000</v>
      </c>
      <c r="L232" s="20">
        <v>0.2</v>
      </c>
      <c r="M232" s="19">
        <f t="shared" si="12"/>
        <v>132000</v>
      </c>
      <c r="N232" s="19">
        <v>132000</v>
      </c>
      <c r="O232" s="4">
        <v>112000</v>
      </c>
      <c r="P232" s="17" t="s">
        <v>23</v>
      </c>
      <c r="Q232" s="17" t="s">
        <v>40</v>
      </c>
      <c r="R232" t="str">
        <f t="shared" si="13"/>
        <v>OK</v>
      </c>
      <c r="S232" s="2">
        <f t="shared" si="14"/>
        <v>1</v>
      </c>
      <c r="T232" s="35">
        <f t="shared" si="15"/>
        <v>20000</v>
      </c>
    </row>
    <row r="233" spans="1:20" x14ac:dyDescent="0.25">
      <c r="A233" s="21">
        <v>100232</v>
      </c>
      <c r="B233" s="22">
        <v>46237</v>
      </c>
      <c r="C233" s="23" t="s">
        <v>25</v>
      </c>
      <c r="D233" s="17" t="s">
        <v>26</v>
      </c>
      <c r="E233" s="23" t="s">
        <v>43</v>
      </c>
      <c r="F233" s="23" t="s">
        <v>27</v>
      </c>
      <c r="G233" s="17" t="s">
        <v>28</v>
      </c>
      <c r="H233" s="23" t="s">
        <v>59</v>
      </c>
      <c r="I233" s="23" t="s">
        <v>22</v>
      </c>
      <c r="J233" s="24">
        <v>1</v>
      </c>
      <c r="K233" s="25">
        <v>165000</v>
      </c>
      <c r="L233" s="26">
        <v>0.1</v>
      </c>
      <c r="M233" s="19">
        <f t="shared" si="12"/>
        <v>148500</v>
      </c>
      <c r="N233" s="25">
        <v>148500</v>
      </c>
      <c r="O233" s="4">
        <v>112000</v>
      </c>
      <c r="P233" s="27" t="s">
        <v>76</v>
      </c>
      <c r="Q233" s="17" t="s">
        <v>58</v>
      </c>
      <c r="R233" t="str">
        <f t="shared" si="13"/>
        <v>OK</v>
      </c>
      <c r="S233" s="2">
        <f t="shared" si="14"/>
        <v>1</v>
      </c>
      <c r="T233" s="35">
        <f t="shared" si="15"/>
        <v>36500</v>
      </c>
    </row>
    <row r="234" spans="1:20" x14ac:dyDescent="0.25">
      <c r="A234" s="14">
        <v>100233</v>
      </c>
      <c r="B234" s="15">
        <v>46030</v>
      </c>
      <c r="C234" s="16" t="s">
        <v>50</v>
      </c>
      <c r="D234" s="17" t="s">
        <v>51</v>
      </c>
      <c r="E234" s="16" t="s">
        <v>43</v>
      </c>
      <c r="F234" s="16" t="s">
        <v>44</v>
      </c>
      <c r="G234" s="17" t="s">
        <v>60</v>
      </c>
      <c r="H234" s="16" t="s">
        <v>130</v>
      </c>
      <c r="I234" s="16" t="s">
        <v>30</v>
      </c>
      <c r="J234" s="18">
        <v>3</v>
      </c>
      <c r="K234" s="19">
        <v>9000</v>
      </c>
      <c r="L234" s="20">
        <v>0.15</v>
      </c>
      <c r="M234" s="19">
        <f t="shared" si="12"/>
        <v>22950</v>
      </c>
      <c r="N234" s="19">
        <v>27540</v>
      </c>
      <c r="O234" s="4">
        <v>3500</v>
      </c>
      <c r="P234" s="17" t="s">
        <v>23</v>
      </c>
      <c r="Q234" s="17" t="s">
        <v>58</v>
      </c>
      <c r="R234" t="str">
        <f t="shared" si="13"/>
        <v>REVENUE MISMATCH</v>
      </c>
      <c r="S234" s="2">
        <f t="shared" si="14"/>
        <v>1.2</v>
      </c>
      <c r="T234" s="35">
        <f t="shared" si="15"/>
        <v>12450</v>
      </c>
    </row>
    <row r="235" spans="1:20" x14ac:dyDescent="0.25">
      <c r="A235" s="21">
        <v>100234</v>
      </c>
      <c r="B235" s="22">
        <v>46043</v>
      </c>
      <c r="C235" s="23" t="s">
        <v>35</v>
      </c>
      <c r="D235" s="17" t="s">
        <v>36</v>
      </c>
      <c r="E235" s="23" t="s">
        <v>37</v>
      </c>
      <c r="F235" s="23" t="s">
        <v>44</v>
      </c>
      <c r="G235" s="17" t="s">
        <v>60</v>
      </c>
      <c r="H235" s="23" t="s">
        <v>148</v>
      </c>
      <c r="I235" s="23" t="s">
        <v>22</v>
      </c>
      <c r="J235" s="24">
        <v>2</v>
      </c>
      <c r="K235" s="25">
        <v>9000</v>
      </c>
      <c r="L235" s="26">
        <v>0.1</v>
      </c>
      <c r="M235" s="19">
        <f t="shared" si="12"/>
        <v>16200</v>
      </c>
      <c r="N235" s="25">
        <v>16200</v>
      </c>
      <c r="O235" s="4">
        <v>3500</v>
      </c>
      <c r="P235" s="27" t="s">
        <v>23</v>
      </c>
      <c r="Q235" s="17" t="s">
        <v>47</v>
      </c>
      <c r="R235" t="str">
        <f t="shared" si="13"/>
        <v>OK</v>
      </c>
      <c r="S235" s="2">
        <f t="shared" si="14"/>
        <v>1</v>
      </c>
      <c r="T235" s="35">
        <f t="shared" si="15"/>
        <v>9200</v>
      </c>
    </row>
    <row r="236" spans="1:20" x14ac:dyDescent="0.25">
      <c r="A236" s="14">
        <v>100235</v>
      </c>
      <c r="B236" s="15">
        <v>46164</v>
      </c>
      <c r="C236" s="16" t="s">
        <v>50</v>
      </c>
      <c r="D236" s="17" t="s">
        <v>51</v>
      </c>
      <c r="E236" s="16" t="s">
        <v>18</v>
      </c>
      <c r="F236" s="16" t="s">
        <v>19</v>
      </c>
      <c r="G236" s="17" t="s">
        <v>62</v>
      </c>
      <c r="H236" s="16" t="s">
        <v>197</v>
      </c>
      <c r="I236" s="16" t="s">
        <v>22</v>
      </c>
      <c r="J236" s="18">
        <v>2</v>
      </c>
      <c r="K236" s="19">
        <v>24000</v>
      </c>
      <c r="L236" s="20">
        <v>0.1</v>
      </c>
      <c r="M236" s="19">
        <f t="shared" si="12"/>
        <v>43200</v>
      </c>
      <c r="N236" s="19">
        <v>38880</v>
      </c>
      <c r="O236" s="4">
        <v>15000</v>
      </c>
      <c r="P236" s="17" t="s">
        <v>23</v>
      </c>
      <c r="Q236" s="17" t="s">
        <v>84</v>
      </c>
      <c r="R236" t="str">
        <f t="shared" si="13"/>
        <v>REVENUE MISMATCH</v>
      </c>
      <c r="S236" s="2">
        <f t="shared" si="14"/>
        <v>0.9</v>
      </c>
      <c r="T236" s="35">
        <f t="shared" si="15"/>
        <v>13200</v>
      </c>
    </row>
    <row r="237" spans="1:20" x14ac:dyDescent="0.25">
      <c r="A237" s="21">
        <v>100236</v>
      </c>
      <c r="B237" s="22">
        <v>46091</v>
      </c>
      <c r="C237" s="23" t="s">
        <v>35</v>
      </c>
      <c r="D237" s="17" t="s">
        <v>36</v>
      </c>
      <c r="E237" s="23" t="s">
        <v>43</v>
      </c>
      <c r="F237" s="23" t="s">
        <v>44</v>
      </c>
      <c r="G237" s="17" t="s">
        <v>241</v>
      </c>
      <c r="H237" s="23" t="s">
        <v>145</v>
      </c>
      <c r="I237" s="23" t="s">
        <v>30</v>
      </c>
      <c r="J237" s="24">
        <v>3</v>
      </c>
      <c r="K237" s="25">
        <v>6500</v>
      </c>
      <c r="L237" s="26">
        <v>0.1</v>
      </c>
      <c r="M237" s="19">
        <f t="shared" si="12"/>
        <v>17550</v>
      </c>
      <c r="N237" s="25">
        <v>17550</v>
      </c>
      <c r="O237" s="4">
        <v>2200</v>
      </c>
      <c r="P237" s="27" t="s">
        <v>23</v>
      </c>
      <c r="Q237" s="17" t="s">
        <v>40</v>
      </c>
      <c r="R237" t="str">
        <f t="shared" si="13"/>
        <v>OK</v>
      </c>
      <c r="S237" s="2">
        <f t="shared" si="14"/>
        <v>1</v>
      </c>
      <c r="T237" s="35">
        <f t="shared" si="15"/>
        <v>10950</v>
      </c>
    </row>
    <row r="238" spans="1:20" x14ac:dyDescent="0.25">
      <c r="A238" s="14">
        <v>100237</v>
      </c>
      <c r="B238" s="15">
        <v>46186</v>
      </c>
      <c r="C238" s="16" t="s">
        <v>25</v>
      </c>
      <c r="D238" s="17" t="s">
        <v>26</v>
      </c>
      <c r="E238" s="16" t="s">
        <v>43</v>
      </c>
      <c r="F238" s="16" t="s">
        <v>27</v>
      </c>
      <c r="G238" s="17" t="s">
        <v>38</v>
      </c>
      <c r="H238" s="16" t="s">
        <v>198</v>
      </c>
      <c r="I238" s="16" t="s">
        <v>22</v>
      </c>
      <c r="J238" s="18">
        <v>4</v>
      </c>
      <c r="K238" s="19">
        <v>26000</v>
      </c>
      <c r="L238" s="20">
        <v>0.1</v>
      </c>
      <c r="M238" s="19">
        <f t="shared" si="12"/>
        <v>93600</v>
      </c>
      <c r="N238" s="19">
        <v>93600</v>
      </c>
      <c r="O238" s="4">
        <v>15000</v>
      </c>
      <c r="P238" s="17" t="s">
        <v>23</v>
      </c>
      <c r="Q238" s="17" t="s">
        <v>64</v>
      </c>
      <c r="R238" t="str">
        <f t="shared" si="13"/>
        <v>OK</v>
      </c>
      <c r="S238" s="2">
        <f t="shared" si="14"/>
        <v>1</v>
      </c>
      <c r="T238" s="35">
        <f t="shared" si="15"/>
        <v>33600</v>
      </c>
    </row>
    <row r="239" spans="1:20" x14ac:dyDescent="0.25">
      <c r="A239" s="21">
        <v>100238</v>
      </c>
      <c r="B239" s="22">
        <v>46033</v>
      </c>
      <c r="C239" s="23" t="s">
        <v>55</v>
      </c>
      <c r="D239" s="17" t="s">
        <v>56</v>
      </c>
      <c r="E239" s="23" t="s">
        <v>37</v>
      </c>
      <c r="F239" s="23" t="s">
        <v>19</v>
      </c>
      <c r="G239" s="17" t="s">
        <v>62</v>
      </c>
      <c r="H239" s="23" t="s">
        <v>199</v>
      </c>
      <c r="I239" s="23" t="s">
        <v>22</v>
      </c>
      <c r="J239" s="24">
        <v>2</v>
      </c>
      <c r="K239" s="25">
        <v>24000</v>
      </c>
      <c r="L239" s="26">
        <v>0</v>
      </c>
      <c r="M239" s="19">
        <f t="shared" si="12"/>
        <v>48000</v>
      </c>
      <c r="N239" s="25">
        <v>48000</v>
      </c>
      <c r="O239" s="4">
        <v>15000</v>
      </c>
      <c r="P239" s="27" t="s">
        <v>23</v>
      </c>
      <c r="Q239" s="17" t="s">
        <v>47</v>
      </c>
      <c r="R239" t="str">
        <f t="shared" si="13"/>
        <v>OK</v>
      </c>
      <c r="S239" s="2">
        <f t="shared" si="14"/>
        <v>1</v>
      </c>
      <c r="T239" s="35">
        <f t="shared" si="15"/>
        <v>18000</v>
      </c>
    </row>
    <row r="240" spans="1:20" x14ac:dyDescent="0.25">
      <c r="A240" s="14">
        <v>100239</v>
      </c>
      <c r="B240" s="15">
        <v>46187</v>
      </c>
      <c r="C240" s="16" t="s">
        <v>55</v>
      </c>
      <c r="D240" s="17" t="s">
        <v>56</v>
      </c>
      <c r="E240" s="16" t="s">
        <v>18</v>
      </c>
      <c r="F240" s="16" t="s">
        <v>27</v>
      </c>
      <c r="G240" s="17" t="s">
        <v>28</v>
      </c>
      <c r="H240" s="16" t="s">
        <v>200</v>
      </c>
      <c r="I240" s="16" t="s">
        <v>30</v>
      </c>
      <c r="J240" s="18">
        <v>1</v>
      </c>
      <c r="K240" s="19">
        <v>165000</v>
      </c>
      <c r="L240" s="20">
        <v>0.15</v>
      </c>
      <c r="M240" s="19">
        <f t="shared" si="12"/>
        <v>140250</v>
      </c>
      <c r="N240" s="19">
        <v>140250</v>
      </c>
      <c r="O240" s="4">
        <v>112000</v>
      </c>
      <c r="P240" s="17" t="s">
        <v>23</v>
      </c>
      <c r="Q240" s="17" t="s">
        <v>24</v>
      </c>
      <c r="R240" t="str">
        <f t="shared" si="13"/>
        <v>OK</v>
      </c>
      <c r="S240" s="2">
        <f t="shared" si="14"/>
        <v>1</v>
      </c>
      <c r="T240" s="35">
        <f t="shared" si="15"/>
        <v>28250</v>
      </c>
    </row>
    <row r="241" spans="1:20" x14ac:dyDescent="0.25">
      <c r="A241" s="21">
        <v>100240</v>
      </c>
      <c r="B241" s="22">
        <v>46038</v>
      </c>
      <c r="C241" s="23" t="s">
        <v>25</v>
      </c>
      <c r="D241" s="17" t="s">
        <v>26</v>
      </c>
      <c r="E241" s="23" t="s">
        <v>37</v>
      </c>
      <c r="F241" s="23" t="s">
        <v>27</v>
      </c>
      <c r="G241" s="17" t="s">
        <v>38</v>
      </c>
      <c r="H241" s="23" t="s">
        <v>80</v>
      </c>
      <c r="I241" s="23" t="s">
        <v>22</v>
      </c>
      <c r="J241" s="24">
        <v>3</v>
      </c>
      <c r="K241" s="25">
        <v>26000</v>
      </c>
      <c r="L241" s="26">
        <v>0.15</v>
      </c>
      <c r="M241" s="19">
        <f t="shared" si="12"/>
        <v>66300</v>
      </c>
      <c r="N241" s="25">
        <v>66300</v>
      </c>
      <c r="O241" s="4">
        <v>15000</v>
      </c>
      <c r="P241" s="27" t="s">
        <v>23</v>
      </c>
      <c r="Q241" s="17" t="s">
        <v>24</v>
      </c>
      <c r="R241" t="str">
        <f t="shared" si="13"/>
        <v>OK</v>
      </c>
      <c r="S241" s="2">
        <f t="shared" si="14"/>
        <v>1</v>
      </c>
      <c r="T241" s="35">
        <f t="shared" si="15"/>
        <v>21300</v>
      </c>
    </row>
    <row r="242" spans="1:20" x14ac:dyDescent="0.25">
      <c r="A242" s="14">
        <v>100241</v>
      </c>
      <c r="B242" s="15">
        <v>46084</v>
      </c>
      <c r="C242" s="16" t="s">
        <v>42</v>
      </c>
      <c r="D242" s="17" t="s">
        <v>26</v>
      </c>
      <c r="E242" s="16" t="s">
        <v>37</v>
      </c>
      <c r="F242" s="16" t="s">
        <v>44</v>
      </c>
      <c r="G242" s="17" t="s">
        <v>241</v>
      </c>
      <c r="H242" s="16" t="s">
        <v>176</v>
      </c>
      <c r="I242" s="16" t="s">
        <v>30</v>
      </c>
      <c r="J242" s="18">
        <v>4</v>
      </c>
      <c r="K242" s="19">
        <v>6500</v>
      </c>
      <c r="L242" s="20">
        <v>0.1</v>
      </c>
      <c r="M242" s="19">
        <f t="shared" si="12"/>
        <v>23400</v>
      </c>
      <c r="N242" s="19">
        <v>23400</v>
      </c>
      <c r="O242" s="4">
        <v>2200</v>
      </c>
      <c r="P242" s="17" t="s">
        <v>23</v>
      </c>
      <c r="Q242" s="17" t="s">
        <v>40</v>
      </c>
      <c r="R242" t="str">
        <f t="shared" si="13"/>
        <v>OK</v>
      </c>
      <c r="S242" s="2">
        <f t="shared" si="14"/>
        <v>1</v>
      </c>
      <c r="T242" s="35">
        <f t="shared" si="15"/>
        <v>14600</v>
      </c>
    </row>
    <row r="243" spans="1:20" x14ac:dyDescent="0.25">
      <c r="A243" s="21">
        <v>100242</v>
      </c>
      <c r="B243" s="22">
        <v>46090</v>
      </c>
      <c r="C243" s="23" t="s">
        <v>35</v>
      </c>
      <c r="D243" s="17" t="s">
        <v>36</v>
      </c>
      <c r="E243" s="23" t="s">
        <v>43</v>
      </c>
      <c r="F243" s="23" t="s">
        <v>19</v>
      </c>
      <c r="G243" s="17" t="s">
        <v>62</v>
      </c>
      <c r="H243" s="23" t="s">
        <v>201</v>
      </c>
      <c r="I243" s="23" t="s">
        <v>22</v>
      </c>
      <c r="J243" s="24">
        <v>2</v>
      </c>
      <c r="K243" s="25">
        <v>24000</v>
      </c>
      <c r="L243" s="26">
        <v>0.1</v>
      </c>
      <c r="M243" s="19">
        <f t="shared" si="12"/>
        <v>43200</v>
      </c>
      <c r="N243" s="25">
        <v>43200</v>
      </c>
      <c r="O243" s="4">
        <v>15000</v>
      </c>
      <c r="P243" s="27" t="s">
        <v>76</v>
      </c>
      <c r="Q243" s="17" t="s">
        <v>31</v>
      </c>
      <c r="R243" t="str">
        <f t="shared" si="13"/>
        <v>OK</v>
      </c>
      <c r="S243" s="2">
        <f t="shared" si="14"/>
        <v>1</v>
      </c>
      <c r="T243" s="35">
        <f t="shared" si="15"/>
        <v>13200</v>
      </c>
    </row>
    <row r="244" spans="1:20" x14ac:dyDescent="0.25">
      <c r="A244" s="14">
        <v>100243</v>
      </c>
      <c r="B244" s="15">
        <v>46219</v>
      </c>
      <c r="C244" s="16" t="s">
        <v>25</v>
      </c>
      <c r="D244" s="17" t="s">
        <v>26</v>
      </c>
      <c r="E244" s="16" t="s">
        <v>37</v>
      </c>
      <c r="F244" s="16" t="s">
        <v>19</v>
      </c>
      <c r="G244" s="17" t="s">
        <v>62</v>
      </c>
      <c r="H244" s="16" t="s">
        <v>175</v>
      </c>
      <c r="I244" s="16" t="s">
        <v>22</v>
      </c>
      <c r="J244" s="18">
        <v>5</v>
      </c>
      <c r="K244" s="19">
        <v>24000</v>
      </c>
      <c r="L244" s="20">
        <v>0.1</v>
      </c>
      <c r="M244" s="19">
        <f t="shared" si="12"/>
        <v>108000</v>
      </c>
      <c r="N244" s="19">
        <v>108000</v>
      </c>
      <c r="O244" s="4">
        <v>15000</v>
      </c>
      <c r="P244" s="17" t="s">
        <v>23</v>
      </c>
      <c r="Q244" s="17" t="s">
        <v>54</v>
      </c>
      <c r="R244" t="str">
        <f t="shared" si="13"/>
        <v>OK</v>
      </c>
      <c r="S244" s="2">
        <f t="shared" si="14"/>
        <v>1</v>
      </c>
      <c r="T244" s="35">
        <f t="shared" si="15"/>
        <v>33000</v>
      </c>
    </row>
    <row r="245" spans="1:20" x14ac:dyDescent="0.25">
      <c r="A245" s="21">
        <v>100244</v>
      </c>
      <c r="B245" s="22">
        <v>46051</v>
      </c>
      <c r="C245" s="23" t="s">
        <v>35</v>
      </c>
      <c r="D245" s="17" t="s">
        <v>36</v>
      </c>
      <c r="E245" s="23" t="s">
        <v>18</v>
      </c>
      <c r="F245" s="23" t="s">
        <v>27</v>
      </c>
      <c r="G245" s="17" t="s">
        <v>38</v>
      </c>
      <c r="H245" s="23" t="s">
        <v>202</v>
      </c>
      <c r="I245" s="23" t="s">
        <v>30</v>
      </c>
      <c r="J245" s="24">
        <v>3</v>
      </c>
      <c r="K245" s="25">
        <v>26000</v>
      </c>
      <c r="L245" s="26">
        <v>0.05</v>
      </c>
      <c r="M245" s="19">
        <f t="shared" si="12"/>
        <v>74100</v>
      </c>
      <c r="N245" s="25">
        <v>74100</v>
      </c>
      <c r="O245" s="4">
        <v>15000</v>
      </c>
      <c r="P245" s="27" t="s">
        <v>23</v>
      </c>
      <c r="Q245" s="17" t="s">
        <v>31</v>
      </c>
      <c r="R245" t="str">
        <f t="shared" si="13"/>
        <v>OK</v>
      </c>
      <c r="S245" s="2">
        <f t="shared" si="14"/>
        <v>1</v>
      </c>
      <c r="T245" s="35">
        <f t="shared" si="15"/>
        <v>29100</v>
      </c>
    </row>
    <row r="246" spans="1:20" x14ac:dyDescent="0.25">
      <c r="A246" s="14">
        <v>100245</v>
      </c>
      <c r="B246" s="15">
        <v>46199</v>
      </c>
      <c r="C246" s="16" t="s">
        <v>42</v>
      </c>
      <c r="D246" s="17" t="s">
        <v>26</v>
      </c>
      <c r="E246" s="16" t="s">
        <v>37</v>
      </c>
      <c r="F246" s="16" t="s">
        <v>44</v>
      </c>
      <c r="G246" s="17" t="s">
        <v>65</v>
      </c>
      <c r="H246" s="16" t="s">
        <v>82</v>
      </c>
      <c r="I246" s="16" t="s">
        <v>22</v>
      </c>
      <c r="J246" s="18">
        <v>1</v>
      </c>
      <c r="K246" s="19">
        <v>28000</v>
      </c>
      <c r="L246" s="20">
        <v>0.15</v>
      </c>
      <c r="M246" s="19">
        <f t="shared" si="12"/>
        <v>23800</v>
      </c>
      <c r="N246" s="19">
        <v>23800</v>
      </c>
      <c r="O246" s="4">
        <v>16000</v>
      </c>
      <c r="P246" s="17" t="s">
        <v>23</v>
      </c>
      <c r="Q246" s="17" t="s">
        <v>47</v>
      </c>
      <c r="R246" t="str">
        <f t="shared" si="13"/>
        <v>OK</v>
      </c>
      <c r="S246" s="2">
        <f t="shared" si="14"/>
        <v>1</v>
      </c>
      <c r="T246" s="35">
        <f t="shared" si="15"/>
        <v>7800</v>
      </c>
    </row>
    <row r="247" spans="1:20" x14ac:dyDescent="0.25">
      <c r="A247" s="21">
        <v>100246</v>
      </c>
      <c r="B247" s="22">
        <v>46231</v>
      </c>
      <c r="C247" s="23" t="s">
        <v>35</v>
      </c>
      <c r="D247" s="17" t="s">
        <v>36</v>
      </c>
      <c r="E247" s="23" t="s">
        <v>43</v>
      </c>
      <c r="F247" s="23" t="s">
        <v>27</v>
      </c>
      <c r="G247" s="17" t="s">
        <v>28</v>
      </c>
      <c r="H247" s="23" t="s">
        <v>112</v>
      </c>
      <c r="I247" s="23" t="s">
        <v>22</v>
      </c>
      <c r="J247" s="24">
        <v>1</v>
      </c>
      <c r="K247" s="25">
        <v>165000</v>
      </c>
      <c r="L247" s="26">
        <v>0.05</v>
      </c>
      <c r="M247" s="19">
        <f t="shared" si="12"/>
        <v>156750</v>
      </c>
      <c r="N247" s="25">
        <v>156750</v>
      </c>
      <c r="O247" s="4">
        <v>112000</v>
      </c>
      <c r="P247" s="27" t="s">
        <v>23</v>
      </c>
      <c r="Q247" s="17" t="s">
        <v>24</v>
      </c>
      <c r="R247" t="str">
        <f t="shared" si="13"/>
        <v>OK</v>
      </c>
      <c r="S247" s="2">
        <f t="shared" si="14"/>
        <v>1</v>
      </c>
      <c r="T247" s="35">
        <f t="shared" si="15"/>
        <v>44750</v>
      </c>
    </row>
    <row r="248" spans="1:20" x14ac:dyDescent="0.25">
      <c r="A248" s="14">
        <v>100247</v>
      </c>
      <c r="B248" s="15">
        <v>46237</v>
      </c>
      <c r="C248" s="16" t="s">
        <v>32</v>
      </c>
      <c r="D248" s="17" t="s">
        <v>17</v>
      </c>
      <c r="E248" s="16" t="s">
        <v>43</v>
      </c>
      <c r="F248" s="16" t="s">
        <v>19</v>
      </c>
      <c r="G248" s="17" t="s">
        <v>62</v>
      </c>
      <c r="H248" s="16" t="s">
        <v>92</v>
      </c>
      <c r="I248" s="16" t="s">
        <v>30</v>
      </c>
      <c r="J248" s="18">
        <v>2</v>
      </c>
      <c r="K248" s="19">
        <v>24000</v>
      </c>
      <c r="L248" s="20">
        <v>0.2</v>
      </c>
      <c r="M248" s="19">
        <f t="shared" si="12"/>
        <v>38400</v>
      </c>
      <c r="N248" s="19">
        <v>38400</v>
      </c>
      <c r="O248" s="4">
        <v>15000</v>
      </c>
      <c r="P248" s="17" t="s">
        <v>23</v>
      </c>
      <c r="Q248" s="17" t="s">
        <v>40</v>
      </c>
      <c r="R248" t="str">
        <f t="shared" si="13"/>
        <v>OK</v>
      </c>
      <c r="S248" s="2">
        <f t="shared" si="14"/>
        <v>1</v>
      </c>
      <c r="T248" s="35">
        <f t="shared" si="15"/>
        <v>8400</v>
      </c>
    </row>
    <row r="249" spans="1:20" x14ac:dyDescent="0.25">
      <c r="A249" s="21">
        <v>100248</v>
      </c>
      <c r="B249" s="22">
        <v>46225</v>
      </c>
      <c r="C249" s="23" t="s">
        <v>25</v>
      </c>
      <c r="D249" s="17" t="s">
        <v>26</v>
      </c>
      <c r="E249" s="23" t="s">
        <v>43</v>
      </c>
      <c r="F249" s="23" t="s">
        <v>44</v>
      </c>
      <c r="G249" s="17" t="s">
        <v>241</v>
      </c>
      <c r="H249" s="23" t="s">
        <v>203</v>
      </c>
      <c r="I249" s="23" t="s">
        <v>30</v>
      </c>
      <c r="J249" s="24">
        <v>1</v>
      </c>
      <c r="K249" s="25">
        <v>6500</v>
      </c>
      <c r="L249" s="26">
        <v>0.05</v>
      </c>
      <c r="M249" s="19">
        <f t="shared" si="12"/>
        <v>6175</v>
      </c>
      <c r="N249" s="25">
        <v>6175</v>
      </c>
      <c r="O249" s="4">
        <v>2200</v>
      </c>
      <c r="P249" s="27" t="s">
        <v>23</v>
      </c>
      <c r="Q249" s="17" t="s">
        <v>64</v>
      </c>
      <c r="R249" t="str">
        <f t="shared" si="13"/>
        <v>OK</v>
      </c>
      <c r="S249" s="2">
        <f t="shared" si="14"/>
        <v>1</v>
      </c>
      <c r="T249" s="35">
        <f t="shared" si="15"/>
        <v>3975</v>
      </c>
    </row>
    <row r="250" spans="1:20" x14ac:dyDescent="0.25">
      <c r="A250" s="14">
        <v>100249</v>
      </c>
      <c r="B250" s="15">
        <v>46116</v>
      </c>
      <c r="C250" s="16" t="s">
        <v>35</v>
      </c>
      <c r="D250" s="17" t="s">
        <v>36</v>
      </c>
      <c r="E250" s="16" t="s">
        <v>37</v>
      </c>
      <c r="F250" s="16" t="s">
        <v>19</v>
      </c>
      <c r="G250" s="17" t="s">
        <v>52</v>
      </c>
      <c r="H250" s="16" t="s">
        <v>204</v>
      </c>
      <c r="I250" s="16" t="s">
        <v>22</v>
      </c>
      <c r="J250" s="18">
        <v>2</v>
      </c>
      <c r="K250" s="19">
        <v>42000</v>
      </c>
      <c r="L250" s="20">
        <v>0.1</v>
      </c>
      <c r="M250" s="19">
        <f t="shared" si="12"/>
        <v>75600</v>
      </c>
      <c r="N250" s="19">
        <v>75600</v>
      </c>
      <c r="O250" s="4">
        <v>28000</v>
      </c>
      <c r="P250" s="17" t="s">
        <v>23</v>
      </c>
      <c r="Q250" s="17" t="s">
        <v>47</v>
      </c>
      <c r="R250" t="str">
        <f t="shared" si="13"/>
        <v>OK</v>
      </c>
      <c r="S250" s="2">
        <f t="shared" si="14"/>
        <v>1</v>
      </c>
      <c r="T250" s="35">
        <f t="shared" si="15"/>
        <v>19600</v>
      </c>
    </row>
    <row r="251" spans="1:20" x14ac:dyDescent="0.25">
      <c r="A251" s="21">
        <v>100250</v>
      </c>
      <c r="B251" s="22">
        <v>46140</v>
      </c>
      <c r="C251" s="23" t="s">
        <v>50</v>
      </c>
      <c r="D251" s="17" t="s">
        <v>51</v>
      </c>
      <c r="E251" s="23" t="s">
        <v>43</v>
      </c>
      <c r="F251" s="23" t="s">
        <v>27</v>
      </c>
      <c r="G251" s="17" t="s">
        <v>28</v>
      </c>
      <c r="H251" s="23" t="s">
        <v>199</v>
      </c>
      <c r="I251" s="23" t="s">
        <v>22</v>
      </c>
      <c r="J251" s="24">
        <v>4</v>
      </c>
      <c r="K251" s="25">
        <v>165000</v>
      </c>
      <c r="L251" s="26">
        <v>0</v>
      </c>
      <c r="M251" s="19">
        <f t="shared" si="12"/>
        <v>660000</v>
      </c>
      <c r="N251" s="25">
        <v>660000</v>
      </c>
      <c r="O251" s="4">
        <v>112000</v>
      </c>
      <c r="P251" s="27" t="s">
        <v>23</v>
      </c>
      <c r="Q251" s="17" t="s">
        <v>47</v>
      </c>
      <c r="R251" t="str">
        <f t="shared" si="13"/>
        <v>OK</v>
      </c>
      <c r="S251" s="2">
        <f t="shared" si="14"/>
        <v>1</v>
      </c>
      <c r="T251" s="35">
        <f t="shared" si="15"/>
        <v>212000</v>
      </c>
    </row>
    <row r="252" spans="1:20" x14ac:dyDescent="0.25">
      <c r="A252" s="14">
        <v>100251</v>
      </c>
      <c r="B252" s="15">
        <v>46226</v>
      </c>
      <c r="C252" s="16" t="s">
        <v>25</v>
      </c>
      <c r="D252" s="17" t="s">
        <v>26</v>
      </c>
      <c r="E252" s="16" t="s">
        <v>43</v>
      </c>
      <c r="F252" s="16" t="s">
        <v>19</v>
      </c>
      <c r="G252" s="17" t="s">
        <v>52</v>
      </c>
      <c r="H252" s="16" t="s">
        <v>186</v>
      </c>
      <c r="I252" s="16" t="s">
        <v>30</v>
      </c>
      <c r="J252" s="18">
        <v>2</v>
      </c>
      <c r="K252" s="19">
        <v>42000</v>
      </c>
      <c r="L252" s="20">
        <v>0</v>
      </c>
      <c r="M252" s="19">
        <f t="shared" si="12"/>
        <v>84000</v>
      </c>
      <c r="N252" s="19">
        <v>84000</v>
      </c>
      <c r="O252" s="4">
        <v>28000</v>
      </c>
      <c r="P252" s="17" t="s">
        <v>23</v>
      </c>
      <c r="Q252" s="17" t="s">
        <v>47</v>
      </c>
      <c r="R252" t="str">
        <f t="shared" si="13"/>
        <v>OK</v>
      </c>
      <c r="S252" s="2">
        <f t="shared" si="14"/>
        <v>1</v>
      </c>
      <c r="T252" s="35">
        <f t="shared" si="15"/>
        <v>28000</v>
      </c>
    </row>
    <row r="253" spans="1:20" x14ac:dyDescent="0.25">
      <c r="A253" s="21">
        <v>100252</v>
      </c>
      <c r="B253" s="22">
        <v>46214</v>
      </c>
      <c r="C253" s="23" t="s">
        <v>35</v>
      </c>
      <c r="D253" s="17" t="s">
        <v>36</v>
      </c>
      <c r="E253" s="23" t="s">
        <v>43</v>
      </c>
      <c r="F253" s="23" t="s">
        <v>27</v>
      </c>
      <c r="G253" s="17" t="s">
        <v>38</v>
      </c>
      <c r="H253" s="23" t="s">
        <v>167</v>
      </c>
      <c r="I253" s="23" t="s">
        <v>30</v>
      </c>
      <c r="J253" s="24">
        <v>2</v>
      </c>
      <c r="K253" s="25">
        <v>26000</v>
      </c>
      <c r="L253" s="26">
        <v>0</v>
      </c>
      <c r="M253" s="19">
        <f t="shared" si="12"/>
        <v>52000</v>
      </c>
      <c r="N253" s="25">
        <v>52000</v>
      </c>
      <c r="O253" s="4">
        <v>15000</v>
      </c>
      <c r="P253" s="27" t="s">
        <v>23</v>
      </c>
      <c r="Q253" s="17" t="s">
        <v>58</v>
      </c>
      <c r="R253" t="str">
        <f t="shared" si="13"/>
        <v>OK</v>
      </c>
      <c r="S253" s="2">
        <f t="shared" si="14"/>
        <v>1</v>
      </c>
      <c r="T253" s="35">
        <f t="shared" si="15"/>
        <v>22000</v>
      </c>
    </row>
    <row r="254" spans="1:20" x14ac:dyDescent="0.25">
      <c r="A254" s="14">
        <v>100253</v>
      </c>
      <c r="B254" s="15">
        <v>46024</v>
      </c>
      <c r="C254" s="16" t="s">
        <v>55</v>
      </c>
      <c r="D254" s="17" t="s">
        <v>56</v>
      </c>
      <c r="E254" s="16" t="s">
        <v>18</v>
      </c>
      <c r="F254" s="16" t="s">
        <v>19</v>
      </c>
      <c r="G254" s="17" t="s">
        <v>20</v>
      </c>
      <c r="H254" s="16" t="s">
        <v>145</v>
      </c>
      <c r="I254" s="16" t="s">
        <v>30</v>
      </c>
      <c r="J254" s="18">
        <v>2</v>
      </c>
      <c r="K254" s="19">
        <v>58000</v>
      </c>
      <c r="L254" s="20">
        <v>0.05</v>
      </c>
      <c r="M254" s="19">
        <f t="shared" si="12"/>
        <v>110200</v>
      </c>
      <c r="N254" s="19">
        <v>110200</v>
      </c>
      <c r="O254" s="4">
        <v>39000</v>
      </c>
      <c r="P254" s="17" t="s">
        <v>23</v>
      </c>
      <c r="Q254" s="17" t="s">
        <v>64</v>
      </c>
      <c r="R254" t="str">
        <f t="shared" si="13"/>
        <v>OK</v>
      </c>
      <c r="S254" s="2">
        <f t="shared" si="14"/>
        <v>1</v>
      </c>
      <c r="T254" s="35">
        <f t="shared" si="15"/>
        <v>32200</v>
      </c>
    </row>
    <row r="255" spans="1:20" x14ac:dyDescent="0.25">
      <c r="A255" s="21">
        <v>100254</v>
      </c>
      <c r="B255" s="22">
        <v>46123</v>
      </c>
      <c r="C255" s="23" t="s">
        <v>35</v>
      </c>
      <c r="D255" s="17" t="s">
        <v>36</v>
      </c>
      <c r="E255" s="23" t="s">
        <v>37</v>
      </c>
      <c r="F255" s="23" t="s">
        <v>19</v>
      </c>
      <c r="G255" s="17" t="s">
        <v>20</v>
      </c>
      <c r="H255" s="23" t="s">
        <v>103</v>
      </c>
      <c r="I255" s="23" t="s">
        <v>30</v>
      </c>
      <c r="J255" s="24">
        <v>2</v>
      </c>
      <c r="K255" s="25">
        <v>58000</v>
      </c>
      <c r="L255" s="26">
        <v>0.1</v>
      </c>
      <c r="M255" s="19">
        <f t="shared" si="12"/>
        <v>104400</v>
      </c>
      <c r="N255" s="25">
        <v>104400</v>
      </c>
      <c r="O255" s="4">
        <v>39000</v>
      </c>
      <c r="P255" s="27" t="s">
        <v>23</v>
      </c>
      <c r="Q255" s="17" t="s">
        <v>40</v>
      </c>
      <c r="R255" t="str">
        <f t="shared" si="13"/>
        <v>OK</v>
      </c>
      <c r="S255" s="2">
        <f t="shared" si="14"/>
        <v>1</v>
      </c>
      <c r="T255" s="35">
        <f t="shared" si="15"/>
        <v>26400</v>
      </c>
    </row>
    <row r="256" spans="1:20" x14ac:dyDescent="0.25">
      <c r="A256" s="14">
        <v>100255</v>
      </c>
      <c r="B256" s="15">
        <v>46147</v>
      </c>
      <c r="C256" s="16" t="s">
        <v>42</v>
      </c>
      <c r="D256" s="17" t="s">
        <v>26</v>
      </c>
      <c r="E256" s="16" t="s">
        <v>37</v>
      </c>
      <c r="F256" s="16" t="s">
        <v>19</v>
      </c>
      <c r="G256" s="17" t="s">
        <v>62</v>
      </c>
      <c r="H256" s="16" t="s">
        <v>205</v>
      </c>
      <c r="I256" s="16" t="s">
        <v>22</v>
      </c>
      <c r="J256" s="18">
        <v>5</v>
      </c>
      <c r="K256" s="19">
        <v>24000</v>
      </c>
      <c r="L256" s="20">
        <v>0.15</v>
      </c>
      <c r="M256" s="19">
        <f t="shared" si="12"/>
        <v>102000</v>
      </c>
      <c r="N256" s="19">
        <v>102000</v>
      </c>
      <c r="O256" s="4">
        <v>15000</v>
      </c>
      <c r="P256" s="17" t="s">
        <v>76</v>
      </c>
      <c r="Q256" s="17" t="s">
        <v>31</v>
      </c>
      <c r="R256" t="str">
        <f t="shared" si="13"/>
        <v>OK</v>
      </c>
      <c r="S256" s="2">
        <f t="shared" si="14"/>
        <v>1</v>
      </c>
      <c r="T256" s="35">
        <f t="shared" si="15"/>
        <v>27000</v>
      </c>
    </row>
    <row r="257" spans="1:20" x14ac:dyDescent="0.25">
      <c r="A257" s="21">
        <v>100256</v>
      </c>
      <c r="B257" s="22">
        <v>46226</v>
      </c>
      <c r="C257" s="23" t="s">
        <v>35</v>
      </c>
      <c r="D257" s="17" t="s">
        <v>36</v>
      </c>
      <c r="E257" s="23" t="s">
        <v>43</v>
      </c>
      <c r="F257" s="23" t="s">
        <v>44</v>
      </c>
      <c r="G257" s="17" t="s">
        <v>241</v>
      </c>
      <c r="H257" s="23" t="s">
        <v>72</v>
      </c>
      <c r="I257" s="23" t="s">
        <v>22</v>
      </c>
      <c r="J257" s="24">
        <v>1</v>
      </c>
      <c r="K257" s="25">
        <v>6500</v>
      </c>
      <c r="L257" s="26">
        <v>0.05</v>
      </c>
      <c r="M257" s="19">
        <f t="shared" si="12"/>
        <v>6175</v>
      </c>
      <c r="N257" s="25">
        <v>6175</v>
      </c>
      <c r="O257" s="4">
        <v>2200</v>
      </c>
      <c r="P257" s="27" t="s">
        <v>23</v>
      </c>
      <c r="Q257" s="17" t="s">
        <v>84</v>
      </c>
      <c r="R257" t="str">
        <f t="shared" si="13"/>
        <v>OK</v>
      </c>
      <c r="S257" s="2">
        <f t="shared" si="14"/>
        <v>1</v>
      </c>
      <c r="T257" s="35">
        <f t="shared" si="15"/>
        <v>3975</v>
      </c>
    </row>
    <row r="258" spans="1:20" x14ac:dyDescent="0.25">
      <c r="A258" s="14">
        <v>100257</v>
      </c>
      <c r="B258" s="15">
        <v>46085</v>
      </c>
      <c r="C258" s="16" t="s">
        <v>25</v>
      </c>
      <c r="D258" s="17" t="s">
        <v>26</v>
      </c>
      <c r="E258" s="16" t="s">
        <v>37</v>
      </c>
      <c r="F258" s="16" t="s">
        <v>19</v>
      </c>
      <c r="G258" s="17" t="s">
        <v>20</v>
      </c>
      <c r="H258" s="16" t="s">
        <v>160</v>
      </c>
      <c r="I258" s="16" t="s">
        <v>30</v>
      </c>
      <c r="J258" s="18">
        <v>1</v>
      </c>
      <c r="K258" s="19">
        <v>58000</v>
      </c>
      <c r="L258" s="20">
        <v>0.05</v>
      </c>
      <c r="M258" s="19">
        <f t="shared" ref="M258:M321" si="16">J258*K258*(1-L258)</f>
        <v>55100</v>
      </c>
      <c r="N258" s="19">
        <v>55100</v>
      </c>
      <c r="O258" s="4">
        <v>39000</v>
      </c>
      <c r="P258" s="17" t="s">
        <v>23</v>
      </c>
      <c r="Q258" s="17" t="s">
        <v>47</v>
      </c>
      <c r="R258" t="str">
        <f t="shared" ref="R258:R321" si="17">IF(ABS(N258-M258)&gt;1,"REVENUE MISMATCH","OK")</f>
        <v>OK</v>
      </c>
      <c r="S258" s="2">
        <f t="shared" ref="S258:S321" si="18">N258/M258</f>
        <v>1</v>
      </c>
      <c r="T258" s="35">
        <f t="shared" si="15"/>
        <v>16100</v>
      </c>
    </row>
    <row r="259" spans="1:20" x14ac:dyDescent="0.25">
      <c r="A259" s="21">
        <v>100258</v>
      </c>
      <c r="B259" s="22">
        <v>46204</v>
      </c>
      <c r="C259" s="23" t="s">
        <v>55</v>
      </c>
      <c r="D259" s="17" t="s">
        <v>56</v>
      </c>
      <c r="E259" s="23" t="s">
        <v>18</v>
      </c>
      <c r="F259" s="23" t="s">
        <v>19</v>
      </c>
      <c r="G259" s="17" t="s">
        <v>52</v>
      </c>
      <c r="H259" s="23" t="s">
        <v>78</v>
      </c>
      <c r="I259" s="23" t="s">
        <v>22</v>
      </c>
      <c r="J259" s="24">
        <v>4</v>
      </c>
      <c r="K259" s="25">
        <v>42000</v>
      </c>
      <c r="L259" s="26">
        <v>0.15</v>
      </c>
      <c r="M259" s="19">
        <f t="shared" si="16"/>
        <v>142800</v>
      </c>
      <c r="N259" s="25">
        <v>142800</v>
      </c>
      <c r="O259" s="4">
        <v>28000</v>
      </c>
      <c r="P259" s="27" t="s">
        <v>23</v>
      </c>
      <c r="Q259" s="17" t="s">
        <v>84</v>
      </c>
      <c r="R259" t="str">
        <f t="shared" si="17"/>
        <v>OK</v>
      </c>
      <c r="S259" s="2">
        <f t="shared" si="18"/>
        <v>1</v>
      </c>
      <c r="T259" s="35">
        <f t="shared" ref="T259:T322" si="19">M259-(O259*J259)</f>
        <v>30800</v>
      </c>
    </row>
    <row r="260" spans="1:20" x14ac:dyDescent="0.25">
      <c r="A260" s="14">
        <v>100259</v>
      </c>
      <c r="B260" s="15">
        <v>46226</v>
      </c>
      <c r="C260" s="16" t="s">
        <v>32</v>
      </c>
      <c r="D260" s="17" t="s">
        <v>17</v>
      </c>
      <c r="E260" s="16" t="s">
        <v>43</v>
      </c>
      <c r="F260" s="16" t="s">
        <v>27</v>
      </c>
      <c r="G260" s="17" t="s">
        <v>28</v>
      </c>
      <c r="H260" s="16" t="s">
        <v>193</v>
      </c>
      <c r="I260" s="16" t="s">
        <v>30</v>
      </c>
      <c r="J260" s="18">
        <v>1</v>
      </c>
      <c r="K260" s="19">
        <v>165000</v>
      </c>
      <c r="L260" s="20">
        <v>0.25</v>
      </c>
      <c r="M260" s="19">
        <f t="shared" si="16"/>
        <v>123750</v>
      </c>
      <c r="N260" s="19">
        <v>136125</v>
      </c>
      <c r="O260" s="4">
        <v>112000</v>
      </c>
      <c r="P260" s="17" t="s">
        <v>76</v>
      </c>
      <c r="Q260" s="17" t="s">
        <v>40</v>
      </c>
      <c r="R260" t="str">
        <f t="shared" si="17"/>
        <v>REVENUE MISMATCH</v>
      </c>
      <c r="S260" s="2">
        <f t="shared" si="18"/>
        <v>1.1000000000000001</v>
      </c>
      <c r="T260" s="35">
        <f t="shared" si="19"/>
        <v>11750</v>
      </c>
    </row>
    <row r="261" spans="1:20" x14ac:dyDescent="0.25">
      <c r="A261" s="21">
        <v>100260</v>
      </c>
      <c r="B261" s="22">
        <v>46126</v>
      </c>
      <c r="C261" s="23" t="s">
        <v>55</v>
      </c>
      <c r="D261" s="17" t="s">
        <v>56</v>
      </c>
      <c r="E261" s="23" t="s">
        <v>18</v>
      </c>
      <c r="F261" s="23" t="s">
        <v>27</v>
      </c>
      <c r="G261" s="17" t="s">
        <v>33</v>
      </c>
      <c r="H261" s="23" t="s">
        <v>107</v>
      </c>
      <c r="I261" s="23" t="s">
        <v>30</v>
      </c>
      <c r="J261" s="24">
        <v>2</v>
      </c>
      <c r="K261" s="25">
        <v>32000</v>
      </c>
      <c r="L261" s="26">
        <v>0.15</v>
      </c>
      <c r="M261" s="19">
        <f t="shared" si="16"/>
        <v>54400</v>
      </c>
      <c r="N261" s="25">
        <v>54400</v>
      </c>
      <c r="O261" s="4">
        <v>19000</v>
      </c>
      <c r="P261" s="27" t="s">
        <v>23</v>
      </c>
      <c r="Q261" s="17" t="s">
        <v>64</v>
      </c>
      <c r="R261" t="str">
        <f t="shared" si="17"/>
        <v>OK</v>
      </c>
      <c r="S261" s="2">
        <f t="shared" si="18"/>
        <v>1</v>
      </c>
      <c r="T261" s="35">
        <f t="shared" si="19"/>
        <v>16400</v>
      </c>
    </row>
    <row r="262" spans="1:20" x14ac:dyDescent="0.25">
      <c r="A262" s="14">
        <v>100261</v>
      </c>
      <c r="B262" s="15">
        <v>46087</v>
      </c>
      <c r="C262" s="16" t="s">
        <v>16</v>
      </c>
      <c r="D262" s="17" t="s">
        <v>17</v>
      </c>
      <c r="E262" s="16" t="s">
        <v>43</v>
      </c>
      <c r="F262" s="16" t="s">
        <v>27</v>
      </c>
      <c r="G262" s="17" t="s">
        <v>38</v>
      </c>
      <c r="H262" s="16" t="s">
        <v>162</v>
      </c>
      <c r="I262" s="16" t="s">
        <v>22</v>
      </c>
      <c r="J262" s="18">
        <v>4</v>
      </c>
      <c r="K262" s="19">
        <v>26000</v>
      </c>
      <c r="L262" s="20">
        <v>0</v>
      </c>
      <c r="M262" s="19">
        <f t="shared" si="16"/>
        <v>104000</v>
      </c>
      <c r="N262" s="19">
        <v>104000</v>
      </c>
      <c r="O262" s="4">
        <v>15000</v>
      </c>
      <c r="P262" s="17" t="s">
        <v>23</v>
      </c>
      <c r="Q262" s="17" t="s">
        <v>24</v>
      </c>
      <c r="R262" t="str">
        <f t="shared" si="17"/>
        <v>OK</v>
      </c>
      <c r="S262" s="2">
        <f t="shared" si="18"/>
        <v>1</v>
      </c>
      <c r="T262" s="35">
        <f t="shared" si="19"/>
        <v>44000</v>
      </c>
    </row>
    <row r="263" spans="1:20" x14ac:dyDescent="0.25">
      <c r="A263" s="21">
        <v>100262</v>
      </c>
      <c r="B263" s="22">
        <v>46063</v>
      </c>
      <c r="C263" s="23" t="s">
        <v>50</v>
      </c>
      <c r="D263" s="17" t="s">
        <v>51</v>
      </c>
      <c r="E263" s="23" t="s">
        <v>37</v>
      </c>
      <c r="F263" s="23" t="s">
        <v>19</v>
      </c>
      <c r="G263" s="17" t="s">
        <v>62</v>
      </c>
      <c r="H263" s="23" t="s">
        <v>91</v>
      </c>
      <c r="I263" s="23" t="s">
        <v>22</v>
      </c>
      <c r="J263" s="24">
        <v>4</v>
      </c>
      <c r="K263" s="25">
        <v>24000</v>
      </c>
      <c r="L263" s="26">
        <v>0.05</v>
      </c>
      <c r="M263" s="19">
        <f t="shared" si="16"/>
        <v>91200</v>
      </c>
      <c r="N263" s="25">
        <v>91200</v>
      </c>
      <c r="O263" s="4">
        <v>15000</v>
      </c>
      <c r="P263" s="27" t="s">
        <v>23</v>
      </c>
      <c r="Q263" s="17" t="s">
        <v>47</v>
      </c>
      <c r="R263" t="str">
        <f t="shared" si="17"/>
        <v>OK</v>
      </c>
      <c r="S263" s="2">
        <f t="shared" si="18"/>
        <v>1</v>
      </c>
      <c r="T263" s="35">
        <f t="shared" si="19"/>
        <v>31200</v>
      </c>
    </row>
    <row r="264" spans="1:20" x14ac:dyDescent="0.25">
      <c r="A264" s="14">
        <v>100263</v>
      </c>
      <c r="B264" s="15">
        <v>46044</v>
      </c>
      <c r="C264" s="16" t="s">
        <v>16</v>
      </c>
      <c r="D264" s="17" t="s">
        <v>17</v>
      </c>
      <c r="E264" s="16" t="s">
        <v>43</v>
      </c>
      <c r="F264" s="16" t="s">
        <v>44</v>
      </c>
      <c r="G264" s="17" t="s">
        <v>60</v>
      </c>
      <c r="H264" s="16" t="s">
        <v>117</v>
      </c>
      <c r="I264" s="16" t="s">
        <v>22</v>
      </c>
      <c r="J264" s="18">
        <v>5</v>
      </c>
      <c r="K264" s="19">
        <v>9000</v>
      </c>
      <c r="L264" s="20">
        <v>0.25</v>
      </c>
      <c r="M264" s="19">
        <f t="shared" si="16"/>
        <v>33750</v>
      </c>
      <c r="N264" s="19">
        <v>33750</v>
      </c>
      <c r="O264" s="4">
        <v>3500</v>
      </c>
      <c r="P264" s="17" t="s">
        <v>23</v>
      </c>
      <c r="Q264" s="17" t="s">
        <v>58</v>
      </c>
      <c r="R264" t="str">
        <f t="shared" si="17"/>
        <v>OK</v>
      </c>
      <c r="S264" s="2">
        <f t="shared" si="18"/>
        <v>1</v>
      </c>
      <c r="T264" s="35">
        <f t="shared" si="19"/>
        <v>16250</v>
      </c>
    </row>
    <row r="265" spans="1:20" x14ac:dyDescent="0.25">
      <c r="A265" s="21">
        <v>100264</v>
      </c>
      <c r="B265" s="22">
        <v>46117</v>
      </c>
      <c r="C265" s="23" t="s">
        <v>35</v>
      </c>
      <c r="D265" s="17" t="s">
        <v>36</v>
      </c>
      <c r="E265" s="23" t="s">
        <v>43</v>
      </c>
      <c r="F265" s="23" t="s">
        <v>19</v>
      </c>
      <c r="G265" s="17" t="s">
        <v>52</v>
      </c>
      <c r="H265" s="23" t="s">
        <v>120</v>
      </c>
      <c r="I265" s="23" t="s">
        <v>30</v>
      </c>
      <c r="J265" s="24">
        <v>1</v>
      </c>
      <c r="K265" s="25">
        <v>42000</v>
      </c>
      <c r="L265" s="26">
        <v>0.05</v>
      </c>
      <c r="M265" s="19">
        <f t="shared" si="16"/>
        <v>39900</v>
      </c>
      <c r="N265" s="25">
        <v>39900</v>
      </c>
      <c r="O265" s="4">
        <v>28000</v>
      </c>
      <c r="P265" s="27" t="s">
        <v>23</v>
      </c>
      <c r="Q265" s="17" t="s">
        <v>58</v>
      </c>
      <c r="R265" t="str">
        <f t="shared" si="17"/>
        <v>OK</v>
      </c>
      <c r="S265" s="2">
        <f t="shared" si="18"/>
        <v>1</v>
      </c>
      <c r="T265" s="35">
        <f t="shared" si="19"/>
        <v>11900</v>
      </c>
    </row>
    <row r="266" spans="1:20" x14ac:dyDescent="0.25">
      <c r="A266" s="14">
        <v>100265</v>
      </c>
      <c r="B266" s="15">
        <v>46053</v>
      </c>
      <c r="C266" s="16" t="s">
        <v>55</v>
      </c>
      <c r="D266" s="17" t="s">
        <v>56</v>
      </c>
      <c r="E266" s="16" t="s">
        <v>43</v>
      </c>
      <c r="F266" s="16" t="s">
        <v>27</v>
      </c>
      <c r="G266" s="17" t="s">
        <v>33</v>
      </c>
      <c r="H266" s="16" t="s">
        <v>207</v>
      </c>
      <c r="I266" s="16" t="s">
        <v>30</v>
      </c>
      <c r="J266" s="18">
        <v>2</v>
      </c>
      <c r="K266" s="19">
        <v>32000</v>
      </c>
      <c r="L266" s="20">
        <v>0</v>
      </c>
      <c r="M266" s="19">
        <f t="shared" si="16"/>
        <v>64000</v>
      </c>
      <c r="N266" s="19">
        <v>64000</v>
      </c>
      <c r="O266" s="4">
        <v>19000</v>
      </c>
      <c r="P266" s="17" t="s">
        <v>23</v>
      </c>
      <c r="Q266" s="17" t="s">
        <v>24</v>
      </c>
      <c r="R266" t="str">
        <f t="shared" si="17"/>
        <v>OK</v>
      </c>
      <c r="S266" s="2">
        <f t="shared" si="18"/>
        <v>1</v>
      </c>
      <c r="T266" s="35">
        <f t="shared" si="19"/>
        <v>26000</v>
      </c>
    </row>
    <row r="267" spans="1:20" x14ac:dyDescent="0.25">
      <c r="A267" s="21">
        <v>100266</v>
      </c>
      <c r="B267" s="22">
        <v>46188</v>
      </c>
      <c r="C267" s="23" t="s">
        <v>35</v>
      </c>
      <c r="D267" s="17" t="s">
        <v>36</v>
      </c>
      <c r="E267" s="23" t="s">
        <v>18</v>
      </c>
      <c r="F267" s="23" t="s">
        <v>19</v>
      </c>
      <c r="G267" s="17" t="s">
        <v>62</v>
      </c>
      <c r="H267" s="23" t="s">
        <v>113</v>
      </c>
      <c r="I267" s="23" t="s">
        <v>22</v>
      </c>
      <c r="J267" s="24">
        <v>4</v>
      </c>
      <c r="K267" s="25">
        <v>24000</v>
      </c>
      <c r="L267" s="26">
        <v>0</v>
      </c>
      <c r="M267" s="19">
        <f t="shared" si="16"/>
        <v>96000</v>
      </c>
      <c r="N267" s="25">
        <v>96000</v>
      </c>
      <c r="O267" s="4">
        <v>15000</v>
      </c>
      <c r="P267" s="27" t="s">
        <v>23</v>
      </c>
      <c r="Q267" s="17" t="s">
        <v>64</v>
      </c>
      <c r="R267" t="str">
        <f t="shared" si="17"/>
        <v>OK</v>
      </c>
      <c r="S267" s="2">
        <f t="shared" si="18"/>
        <v>1</v>
      </c>
      <c r="T267" s="35">
        <f t="shared" si="19"/>
        <v>36000</v>
      </c>
    </row>
    <row r="268" spans="1:20" x14ac:dyDescent="0.25">
      <c r="A268" s="14">
        <v>100267</v>
      </c>
      <c r="B268" s="15">
        <v>46143</v>
      </c>
      <c r="C268" s="16" t="s">
        <v>55</v>
      </c>
      <c r="D268" s="17" t="s">
        <v>56</v>
      </c>
      <c r="E268" s="16" t="s">
        <v>43</v>
      </c>
      <c r="F268" s="16" t="s">
        <v>27</v>
      </c>
      <c r="G268" s="17" t="s">
        <v>38</v>
      </c>
      <c r="H268" s="16" t="s">
        <v>175</v>
      </c>
      <c r="I268" s="16" t="s">
        <v>30</v>
      </c>
      <c r="J268" s="18">
        <v>1</v>
      </c>
      <c r="K268" s="19">
        <v>26000</v>
      </c>
      <c r="L268" s="20">
        <v>0.05</v>
      </c>
      <c r="M268" s="19">
        <f t="shared" si="16"/>
        <v>24700</v>
      </c>
      <c r="N268" s="19">
        <v>24700</v>
      </c>
      <c r="O268" s="4">
        <v>15000</v>
      </c>
      <c r="P268" s="17" t="s">
        <v>23</v>
      </c>
      <c r="Q268" s="17" t="s">
        <v>54</v>
      </c>
      <c r="R268" t="str">
        <f t="shared" si="17"/>
        <v>OK</v>
      </c>
      <c r="S268" s="2">
        <f t="shared" si="18"/>
        <v>1</v>
      </c>
      <c r="T268" s="35">
        <f t="shared" si="19"/>
        <v>9700</v>
      </c>
    </row>
    <row r="269" spans="1:20" x14ac:dyDescent="0.25">
      <c r="A269" s="21">
        <v>100268</v>
      </c>
      <c r="B269" s="22">
        <v>46082</v>
      </c>
      <c r="C269" s="23" t="s">
        <v>42</v>
      </c>
      <c r="D269" s="17" t="s">
        <v>26</v>
      </c>
      <c r="E269" s="23" t="s">
        <v>37</v>
      </c>
      <c r="F269" s="23" t="s">
        <v>19</v>
      </c>
      <c r="G269" s="17" t="s">
        <v>20</v>
      </c>
      <c r="H269" s="23" t="s">
        <v>146</v>
      </c>
      <c r="I269" s="23" t="s">
        <v>30</v>
      </c>
      <c r="J269" s="24">
        <v>2</v>
      </c>
      <c r="K269" s="25">
        <v>58000</v>
      </c>
      <c r="L269" s="26">
        <v>0</v>
      </c>
      <c r="M269" s="19">
        <f t="shared" si="16"/>
        <v>116000</v>
      </c>
      <c r="N269" s="25">
        <v>116000</v>
      </c>
      <c r="O269" s="4">
        <v>39000</v>
      </c>
      <c r="P269" s="27" t="s">
        <v>23</v>
      </c>
      <c r="Q269" s="17" t="s">
        <v>64</v>
      </c>
      <c r="R269" t="str">
        <f t="shared" si="17"/>
        <v>OK</v>
      </c>
      <c r="S269" s="2">
        <f t="shared" si="18"/>
        <v>1</v>
      </c>
      <c r="T269" s="35">
        <f t="shared" si="19"/>
        <v>38000</v>
      </c>
    </row>
    <row r="270" spans="1:20" x14ac:dyDescent="0.25">
      <c r="A270" s="14">
        <v>100269</v>
      </c>
      <c r="B270" s="15">
        <v>46119</v>
      </c>
      <c r="C270" s="16" t="s">
        <v>32</v>
      </c>
      <c r="D270" s="17" t="s">
        <v>17</v>
      </c>
      <c r="E270" s="16" t="s">
        <v>18</v>
      </c>
      <c r="F270" s="16" t="s">
        <v>27</v>
      </c>
      <c r="G270" s="17" t="s">
        <v>38</v>
      </c>
      <c r="H270" s="16" t="s">
        <v>151</v>
      </c>
      <c r="I270" s="16" t="s">
        <v>30</v>
      </c>
      <c r="J270" s="18">
        <v>5</v>
      </c>
      <c r="K270" s="19">
        <v>26000</v>
      </c>
      <c r="L270" s="20">
        <v>0.15</v>
      </c>
      <c r="M270" s="19">
        <f t="shared" si="16"/>
        <v>110500</v>
      </c>
      <c r="N270" s="19">
        <v>110500</v>
      </c>
      <c r="O270" s="4">
        <v>15000</v>
      </c>
      <c r="P270" s="17" t="s">
        <v>23</v>
      </c>
      <c r="Q270" s="17" t="s">
        <v>31</v>
      </c>
      <c r="R270" t="str">
        <f t="shared" si="17"/>
        <v>OK</v>
      </c>
      <c r="S270" s="2">
        <f t="shared" si="18"/>
        <v>1</v>
      </c>
      <c r="T270" s="35">
        <f t="shared" si="19"/>
        <v>35500</v>
      </c>
    </row>
    <row r="271" spans="1:20" x14ac:dyDescent="0.25">
      <c r="A271" s="21">
        <v>100270</v>
      </c>
      <c r="B271" s="22">
        <v>46189</v>
      </c>
      <c r="C271" s="23" t="s">
        <v>55</v>
      </c>
      <c r="D271" s="17" t="s">
        <v>56</v>
      </c>
      <c r="E271" s="23" t="s">
        <v>37</v>
      </c>
      <c r="F271" s="23" t="s">
        <v>44</v>
      </c>
      <c r="G271" s="17" t="s">
        <v>65</v>
      </c>
      <c r="H271" s="23" t="s">
        <v>208</v>
      </c>
      <c r="I271" s="23" t="s">
        <v>30</v>
      </c>
      <c r="J271" s="24">
        <v>4</v>
      </c>
      <c r="K271" s="25">
        <v>28000</v>
      </c>
      <c r="L271" s="26">
        <v>0</v>
      </c>
      <c r="M271" s="19">
        <f t="shared" si="16"/>
        <v>112000</v>
      </c>
      <c r="N271" s="25">
        <v>112000</v>
      </c>
      <c r="O271" s="4">
        <v>16000</v>
      </c>
      <c r="P271" s="27" t="s">
        <v>23</v>
      </c>
      <c r="Q271" s="17" t="s">
        <v>40</v>
      </c>
      <c r="R271" t="str">
        <f t="shared" si="17"/>
        <v>OK</v>
      </c>
      <c r="S271" s="2">
        <f t="shared" si="18"/>
        <v>1</v>
      </c>
      <c r="T271" s="35">
        <f t="shared" si="19"/>
        <v>48000</v>
      </c>
    </row>
    <row r="272" spans="1:20" x14ac:dyDescent="0.25">
      <c r="A272" s="14">
        <v>100271</v>
      </c>
      <c r="B272" s="15">
        <v>46137</v>
      </c>
      <c r="C272" s="16" t="s">
        <v>50</v>
      </c>
      <c r="D272" s="17" t="s">
        <v>51</v>
      </c>
      <c r="E272" s="16" t="s">
        <v>37</v>
      </c>
      <c r="F272" s="16" t="s">
        <v>27</v>
      </c>
      <c r="G272" s="17" t="s">
        <v>28</v>
      </c>
      <c r="H272" s="16" t="s">
        <v>160</v>
      </c>
      <c r="I272" s="16" t="s">
        <v>22</v>
      </c>
      <c r="J272" s="18">
        <v>1</v>
      </c>
      <c r="K272" s="19">
        <v>165000</v>
      </c>
      <c r="L272" s="20">
        <v>0</v>
      </c>
      <c r="M272" s="19">
        <f t="shared" si="16"/>
        <v>165000</v>
      </c>
      <c r="N272" s="19">
        <v>165000</v>
      </c>
      <c r="O272" s="4">
        <v>112000</v>
      </c>
      <c r="P272" s="17" t="s">
        <v>23</v>
      </c>
      <c r="Q272" s="17" t="s">
        <v>24</v>
      </c>
      <c r="R272" t="str">
        <f t="shared" si="17"/>
        <v>OK</v>
      </c>
      <c r="S272" s="2">
        <f t="shared" si="18"/>
        <v>1</v>
      </c>
      <c r="T272" s="35">
        <f t="shared" si="19"/>
        <v>53000</v>
      </c>
    </row>
    <row r="273" spans="1:20" x14ac:dyDescent="0.25">
      <c r="A273" s="21">
        <v>100272</v>
      </c>
      <c r="B273" s="22">
        <v>46100</v>
      </c>
      <c r="C273" s="23" t="s">
        <v>42</v>
      </c>
      <c r="D273" s="17" t="s">
        <v>26</v>
      </c>
      <c r="E273" s="23" t="s">
        <v>43</v>
      </c>
      <c r="F273" s="23" t="s">
        <v>19</v>
      </c>
      <c r="G273" s="17" t="s">
        <v>52</v>
      </c>
      <c r="H273" s="23" t="s">
        <v>146</v>
      </c>
      <c r="I273" s="23" t="s">
        <v>30</v>
      </c>
      <c r="J273" s="24">
        <v>1</v>
      </c>
      <c r="K273" s="25">
        <v>42000</v>
      </c>
      <c r="L273" s="26">
        <v>0</v>
      </c>
      <c r="M273" s="19">
        <f t="shared" si="16"/>
        <v>42000</v>
      </c>
      <c r="N273" s="25">
        <v>42000</v>
      </c>
      <c r="O273" s="4">
        <v>28000</v>
      </c>
      <c r="P273" s="27" t="s">
        <v>23</v>
      </c>
      <c r="Q273" s="17" t="s">
        <v>54</v>
      </c>
      <c r="R273" t="str">
        <f t="shared" si="17"/>
        <v>OK</v>
      </c>
      <c r="S273" s="2">
        <f t="shared" si="18"/>
        <v>1</v>
      </c>
      <c r="T273" s="35">
        <f t="shared" si="19"/>
        <v>14000</v>
      </c>
    </row>
    <row r="274" spans="1:20" x14ac:dyDescent="0.25">
      <c r="A274" s="14">
        <v>100273</v>
      </c>
      <c r="B274" s="15">
        <v>46037</v>
      </c>
      <c r="C274" s="16" t="s">
        <v>50</v>
      </c>
      <c r="D274" s="17" t="s">
        <v>51</v>
      </c>
      <c r="E274" s="16" t="s">
        <v>37</v>
      </c>
      <c r="F274" s="16" t="s">
        <v>27</v>
      </c>
      <c r="G274" s="17" t="s">
        <v>28</v>
      </c>
      <c r="H274" s="16" t="s">
        <v>209</v>
      </c>
      <c r="I274" s="16" t="s">
        <v>22</v>
      </c>
      <c r="J274" s="18">
        <v>2</v>
      </c>
      <c r="K274" s="19">
        <v>165000</v>
      </c>
      <c r="L274" s="20">
        <v>0.05</v>
      </c>
      <c r="M274" s="19">
        <f t="shared" si="16"/>
        <v>313500</v>
      </c>
      <c r="N274" s="19">
        <v>313500</v>
      </c>
      <c r="O274" s="4">
        <v>112000</v>
      </c>
      <c r="P274" s="17" t="s">
        <v>23</v>
      </c>
      <c r="Q274" s="17" t="s">
        <v>47</v>
      </c>
      <c r="R274" t="str">
        <f t="shared" si="17"/>
        <v>OK</v>
      </c>
      <c r="S274" s="2">
        <f t="shared" si="18"/>
        <v>1</v>
      </c>
      <c r="T274" s="35">
        <f t="shared" si="19"/>
        <v>89500</v>
      </c>
    </row>
    <row r="275" spans="1:20" x14ac:dyDescent="0.25">
      <c r="A275" s="21">
        <v>100274</v>
      </c>
      <c r="B275" s="22">
        <v>46260</v>
      </c>
      <c r="C275" s="23" t="s">
        <v>55</v>
      </c>
      <c r="D275" s="17" t="s">
        <v>56</v>
      </c>
      <c r="E275" s="23" t="s">
        <v>37</v>
      </c>
      <c r="F275" s="23" t="s">
        <v>44</v>
      </c>
      <c r="G275" s="17" t="s">
        <v>65</v>
      </c>
      <c r="H275" s="23" t="s">
        <v>148</v>
      </c>
      <c r="I275" s="23" t="s">
        <v>30</v>
      </c>
      <c r="J275" s="24">
        <v>3</v>
      </c>
      <c r="K275" s="25">
        <v>28000</v>
      </c>
      <c r="L275" s="26">
        <v>0</v>
      </c>
      <c r="M275" s="19">
        <f t="shared" si="16"/>
        <v>84000</v>
      </c>
      <c r="N275" s="25">
        <v>84000</v>
      </c>
      <c r="O275" s="4">
        <v>16000</v>
      </c>
      <c r="P275" s="27" t="s">
        <v>23</v>
      </c>
      <c r="Q275" s="17" t="s">
        <v>54</v>
      </c>
      <c r="R275" t="str">
        <f t="shared" si="17"/>
        <v>OK</v>
      </c>
      <c r="S275" s="2">
        <f t="shared" si="18"/>
        <v>1</v>
      </c>
      <c r="T275" s="35">
        <f t="shared" si="19"/>
        <v>36000</v>
      </c>
    </row>
    <row r="276" spans="1:20" x14ac:dyDescent="0.25">
      <c r="A276" s="14">
        <v>100275</v>
      </c>
      <c r="B276" s="15">
        <v>46156</v>
      </c>
      <c r="C276" s="16" t="s">
        <v>25</v>
      </c>
      <c r="D276" s="17" t="s">
        <v>26</v>
      </c>
      <c r="E276" s="16" t="s">
        <v>37</v>
      </c>
      <c r="F276" s="16" t="s">
        <v>27</v>
      </c>
      <c r="G276" s="17" t="s">
        <v>38</v>
      </c>
      <c r="H276" s="16" t="s">
        <v>100</v>
      </c>
      <c r="I276" s="16" t="s">
        <v>22</v>
      </c>
      <c r="J276" s="18">
        <v>22</v>
      </c>
      <c r="K276" s="19">
        <v>26000</v>
      </c>
      <c r="L276" s="20">
        <v>0.05</v>
      </c>
      <c r="M276" s="19">
        <f t="shared" si="16"/>
        <v>543400</v>
      </c>
      <c r="N276" s="19">
        <v>543400</v>
      </c>
      <c r="O276" s="4">
        <v>15000</v>
      </c>
      <c r="P276" s="17" t="s">
        <v>23</v>
      </c>
      <c r="Q276" s="17" t="s">
        <v>58</v>
      </c>
      <c r="R276" t="str">
        <f t="shared" si="17"/>
        <v>OK</v>
      </c>
      <c r="S276" s="2">
        <f t="shared" si="18"/>
        <v>1</v>
      </c>
      <c r="T276" s="35">
        <f t="shared" si="19"/>
        <v>213400</v>
      </c>
    </row>
    <row r="277" spans="1:20" x14ac:dyDescent="0.25">
      <c r="A277" s="21">
        <v>100276</v>
      </c>
      <c r="B277" s="22">
        <v>46195</v>
      </c>
      <c r="C277" s="23" t="s">
        <v>42</v>
      </c>
      <c r="D277" s="17" t="s">
        <v>26</v>
      </c>
      <c r="E277" s="23" t="s">
        <v>37</v>
      </c>
      <c r="F277" s="23" t="s">
        <v>19</v>
      </c>
      <c r="G277" s="17" t="s">
        <v>62</v>
      </c>
      <c r="H277" s="23" t="s">
        <v>158</v>
      </c>
      <c r="I277" s="23" t="s">
        <v>22</v>
      </c>
      <c r="J277" s="24">
        <v>2</v>
      </c>
      <c r="K277" s="25">
        <v>24000</v>
      </c>
      <c r="L277" s="26">
        <v>0.1</v>
      </c>
      <c r="M277" s="19">
        <f t="shared" si="16"/>
        <v>43200</v>
      </c>
      <c r="N277" s="25">
        <v>43200</v>
      </c>
      <c r="O277" s="4">
        <v>15000</v>
      </c>
      <c r="P277" s="27" t="s">
        <v>23</v>
      </c>
      <c r="Q277" s="17" t="s">
        <v>58</v>
      </c>
      <c r="R277" t="str">
        <f t="shared" si="17"/>
        <v>OK</v>
      </c>
      <c r="S277" s="2">
        <f t="shared" si="18"/>
        <v>1</v>
      </c>
      <c r="T277" s="35">
        <f t="shared" si="19"/>
        <v>13200</v>
      </c>
    </row>
    <row r="278" spans="1:20" x14ac:dyDescent="0.25">
      <c r="A278" s="14">
        <v>100277</v>
      </c>
      <c r="B278" s="15">
        <v>46231</v>
      </c>
      <c r="C278" s="16" t="s">
        <v>25</v>
      </c>
      <c r="D278" s="17" t="s">
        <v>26</v>
      </c>
      <c r="E278" s="16" t="s">
        <v>43</v>
      </c>
      <c r="F278" s="16" t="s">
        <v>27</v>
      </c>
      <c r="G278" s="17" t="s">
        <v>38</v>
      </c>
      <c r="H278" s="16" t="s">
        <v>138</v>
      </c>
      <c r="I278" s="16" t="s">
        <v>22</v>
      </c>
      <c r="J278" s="18">
        <v>22</v>
      </c>
      <c r="K278" s="19">
        <v>26000</v>
      </c>
      <c r="L278" s="20">
        <v>0</v>
      </c>
      <c r="M278" s="19">
        <f t="shared" si="16"/>
        <v>572000</v>
      </c>
      <c r="N278" s="19">
        <v>572000</v>
      </c>
      <c r="O278" s="4">
        <v>15000</v>
      </c>
      <c r="P278" s="17" t="s">
        <v>23</v>
      </c>
      <c r="Q278" s="17" t="s">
        <v>40</v>
      </c>
      <c r="R278" t="str">
        <f t="shared" si="17"/>
        <v>OK</v>
      </c>
      <c r="S278" s="2">
        <f t="shared" si="18"/>
        <v>1</v>
      </c>
      <c r="T278" s="35">
        <f t="shared" si="19"/>
        <v>242000</v>
      </c>
    </row>
    <row r="279" spans="1:20" x14ac:dyDescent="0.25">
      <c r="A279" s="21">
        <v>100278</v>
      </c>
      <c r="B279" s="22">
        <v>46200</v>
      </c>
      <c r="C279" s="23" t="s">
        <v>25</v>
      </c>
      <c r="D279" s="17" t="s">
        <v>26</v>
      </c>
      <c r="E279" s="23" t="s">
        <v>43</v>
      </c>
      <c r="F279" s="23" t="s">
        <v>27</v>
      </c>
      <c r="G279" s="17" t="s">
        <v>38</v>
      </c>
      <c r="H279" s="23" t="s">
        <v>190</v>
      </c>
      <c r="I279" s="23" t="s">
        <v>22</v>
      </c>
      <c r="J279" s="24">
        <v>3</v>
      </c>
      <c r="K279" s="25">
        <v>26000</v>
      </c>
      <c r="L279" s="26">
        <v>0.1</v>
      </c>
      <c r="M279" s="19">
        <f t="shared" si="16"/>
        <v>70200</v>
      </c>
      <c r="N279" s="25">
        <v>56160</v>
      </c>
      <c r="O279" s="4">
        <v>15000</v>
      </c>
      <c r="P279" s="27" t="s">
        <v>23</v>
      </c>
      <c r="Q279" s="17" t="s">
        <v>54</v>
      </c>
      <c r="R279" t="str">
        <f t="shared" si="17"/>
        <v>REVENUE MISMATCH</v>
      </c>
      <c r="S279" s="2">
        <f t="shared" si="18"/>
        <v>0.8</v>
      </c>
      <c r="T279" s="35">
        <f t="shared" si="19"/>
        <v>25200</v>
      </c>
    </row>
    <row r="280" spans="1:20" x14ac:dyDescent="0.25">
      <c r="A280" s="14">
        <v>100279</v>
      </c>
      <c r="B280" s="15">
        <v>46074</v>
      </c>
      <c r="C280" s="16" t="s">
        <v>16</v>
      </c>
      <c r="D280" s="17" t="s">
        <v>17</v>
      </c>
      <c r="E280" s="16" t="s">
        <v>37</v>
      </c>
      <c r="F280" s="16" t="s">
        <v>44</v>
      </c>
      <c r="G280" s="17" t="s">
        <v>241</v>
      </c>
      <c r="H280" s="16" t="s">
        <v>39</v>
      </c>
      <c r="I280" s="16" t="s">
        <v>30</v>
      </c>
      <c r="J280" s="18">
        <v>4</v>
      </c>
      <c r="K280" s="19">
        <v>6500</v>
      </c>
      <c r="L280" s="20">
        <v>0.15</v>
      </c>
      <c r="M280" s="19">
        <f t="shared" si="16"/>
        <v>22100</v>
      </c>
      <c r="N280" s="19">
        <v>22100</v>
      </c>
      <c r="O280" s="4">
        <v>2200</v>
      </c>
      <c r="P280" s="17" t="s">
        <v>23</v>
      </c>
      <c r="Q280" s="17" t="s">
        <v>64</v>
      </c>
      <c r="R280" t="str">
        <f t="shared" si="17"/>
        <v>OK</v>
      </c>
      <c r="S280" s="2">
        <f t="shared" si="18"/>
        <v>1</v>
      </c>
      <c r="T280" s="35">
        <f t="shared" si="19"/>
        <v>13300</v>
      </c>
    </row>
    <row r="281" spans="1:20" x14ac:dyDescent="0.25">
      <c r="A281" s="21">
        <v>100280</v>
      </c>
      <c r="B281" s="22">
        <v>46189</v>
      </c>
      <c r="C281" s="23" t="s">
        <v>25</v>
      </c>
      <c r="D281" s="17" t="s">
        <v>26</v>
      </c>
      <c r="E281" s="23" t="s">
        <v>18</v>
      </c>
      <c r="F281" s="23" t="s">
        <v>27</v>
      </c>
      <c r="G281" s="17" t="s">
        <v>33</v>
      </c>
      <c r="H281" s="23" t="s">
        <v>210</v>
      </c>
      <c r="I281" s="23" t="s">
        <v>30</v>
      </c>
      <c r="J281" s="24">
        <v>1</v>
      </c>
      <c r="K281" s="25">
        <v>32000</v>
      </c>
      <c r="L281" s="26">
        <v>0.05</v>
      </c>
      <c r="M281" s="19">
        <f t="shared" si="16"/>
        <v>30400</v>
      </c>
      <c r="N281" s="25">
        <v>30400</v>
      </c>
      <c r="O281" s="4">
        <v>19000</v>
      </c>
      <c r="P281" s="27" t="s">
        <v>23</v>
      </c>
      <c r="Q281" s="17" t="s">
        <v>40</v>
      </c>
      <c r="R281" t="str">
        <f t="shared" si="17"/>
        <v>OK</v>
      </c>
      <c r="S281" s="2">
        <f t="shared" si="18"/>
        <v>1</v>
      </c>
      <c r="T281" s="35">
        <f t="shared" si="19"/>
        <v>11400</v>
      </c>
    </row>
    <row r="282" spans="1:20" x14ac:dyDescent="0.25">
      <c r="A282" s="14">
        <v>100281</v>
      </c>
      <c r="B282" s="15">
        <v>46157</v>
      </c>
      <c r="C282" s="16" t="s">
        <v>25</v>
      </c>
      <c r="D282" s="17" t="s">
        <v>26</v>
      </c>
      <c r="E282" s="16" t="s">
        <v>18</v>
      </c>
      <c r="F282" s="16" t="s">
        <v>27</v>
      </c>
      <c r="G282" s="17" t="s">
        <v>38</v>
      </c>
      <c r="H282" s="16" t="s">
        <v>211</v>
      </c>
      <c r="I282" s="16" t="s">
        <v>22</v>
      </c>
      <c r="J282" s="18">
        <v>1</v>
      </c>
      <c r="K282" s="19">
        <v>26000</v>
      </c>
      <c r="L282" s="20">
        <v>0.15</v>
      </c>
      <c r="M282" s="19">
        <f t="shared" si="16"/>
        <v>22100</v>
      </c>
      <c r="N282" s="19">
        <v>22100</v>
      </c>
      <c r="O282" s="4">
        <v>15000</v>
      </c>
      <c r="P282" s="17" t="s">
        <v>23</v>
      </c>
      <c r="Q282" s="17" t="s">
        <v>47</v>
      </c>
      <c r="R282" t="str">
        <f t="shared" si="17"/>
        <v>OK</v>
      </c>
      <c r="S282" s="2">
        <f t="shared" si="18"/>
        <v>1</v>
      </c>
      <c r="T282" s="35">
        <f t="shared" si="19"/>
        <v>7100</v>
      </c>
    </row>
    <row r="283" spans="1:20" x14ac:dyDescent="0.25">
      <c r="A283" s="21">
        <v>100282</v>
      </c>
      <c r="B283" s="22">
        <v>46149</v>
      </c>
      <c r="C283" s="23" t="s">
        <v>25</v>
      </c>
      <c r="D283" s="17" t="s">
        <v>26</v>
      </c>
      <c r="E283" s="23" t="s">
        <v>43</v>
      </c>
      <c r="F283" s="23" t="s">
        <v>27</v>
      </c>
      <c r="G283" s="17" t="s">
        <v>38</v>
      </c>
      <c r="H283" s="23" t="s">
        <v>126</v>
      </c>
      <c r="I283" s="23" t="s">
        <v>30</v>
      </c>
      <c r="J283" s="24">
        <v>2</v>
      </c>
      <c r="K283" s="25">
        <v>26000</v>
      </c>
      <c r="L283" s="26">
        <v>0.05</v>
      </c>
      <c r="M283" s="19">
        <f t="shared" si="16"/>
        <v>49400</v>
      </c>
      <c r="N283" s="25">
        <v>49400</v>
      </c>
      <c r="O283" s="4">
        <v>15000</v>
      </c>
      <c r="P283" s="27" t="s">
        <v>23</v>
      </c>
      <c r="Q283" s="17" t="s">
        <v>31</v>
      </c>
      <c r="R283" t="str">
        <f t="shared" si="17"/>
        <v>OK</v>
      </c>
      <c r="S283" s="2">
        <f t="shared" si="18"/>
        <v>1</v>
      </c>
      <c r="T283" s="35">
        <f t="shared" si="19"/>
        <v>19400</v>
      </c>
    </row>
    <row r="284" spans="1:20" x14ac:dyDescent="0.25">
      <c r="A284" s="14">
        <v>100283</v>
      </c>
      <c r="B284" s="15">
        <v>46260</v>
      </c>
      <c r="C284" s="16" t="s">
        <v>25</v>
      </c>
      <c r="D284" s="17" t="s">
        <v>26</v>
      </c>
      <c r="E284" s="16" t="s">
        <v>43</v>
      </c>
      <c r="F284" s="16" t="s">
        <v>19</v>
      </c>
      <c r="G284" s="17" t="s">
        <v>20</v>
      </c>
      <c r="H284" s="16" t="s">
        <v>125</v>
      </c>
      <c r="I284" s="16" t="s">
        <v>30</v>
      </c>
      <c r="J284" s="18">
        <v>1</v>
      </c>
      <c r="K284" s="19">
        <v>58000</v>
      </c>
      <c r="L284" s="20">
        <v>0.05</v>
      </c>
      <c r="M284" s="19">
        <f t="shared" si="16"/>
        <v>55100</v>
      </c>
      <c r="N284" s="19">
        <v>55100</v>
      </c>
      <c r="O284" s="4">
        <v>39000</v>
      </c>
      <c r="P284" s="17" t="s">
        <v>23</v>
      </c>
      <c r="Q284" s="17" t="s">
        <v>47</v>
      </c>
      <c r="R284" t="str">
        <f t="shared" si="17"/>
        <v>OK</v>
      </c>
      <c r="S284" s="2">
        <f t="shared" si="18"/>
        <v>1</v>
      </c>
      <c r="T284" s="35">
        <f t="shared" si="19"/>
        <v>16100</v>
      </c>
    </row>
    <row r="285" spans="1:20" x14ac:dyDescent="0.25">
      <c r="A285" s="21">
        <v>100284</v>
      </c>
      <c r="B285" s="22">
        <v>46245</v>
      </c>
      <c r="C285" s="23" t="s">
        <v>16</v>
      </c>
      <c r="D285" s="17" t="s">
        <v>17</v>
      </c>
      <c r="E285" s="23" t="s">
        <v>43</v>
      </c>
      <c r="F285" s="23" t="s">
        <v>19</v>
      </c>
      <c r="G285" s="17" t="s">
        <v>62</v>
      </c>
      <c r="H285" s="23" t="s">
        <v>212</v>
      </c>
      <c r="I285" s="23" t="s">
        <v>22</v>
      </c>
      <c r="J285" s="24">
        <v>4</v>
      </c>
      <c r="K285" s="25">
        <v>24000</v>
      </c>
      <c r="L285" s="26">
        <v>0.1</v>
      </c>
      <c r="M285" s="19">
        <f t="shared" si="16"/>
        <v>86400</v>
      </c>
      <c r="N285" s="25">
        <v>95040</v>
      </c>
      <c r="O285" s="4">
        <v>15000</v>
      </c>
      <c r="P285" s="27" t="s">
        <v>23</v>
      </c>
      <c r="Q285" s="17" t="s">
        <v>54</v>
      </c>
      <c r="R285" t="str">
        <f t="shared" si="17"/>
        <v>REVENUE MISMATCH</v>
      </c>
      <c r="S285" s="2">
        <f t="shared" si="18"/>
        <v>1.1000000000000001</v>
      </c>
      <c r="T285" s="35">
        <f t="shared" si="19"/>
        <v>26400</v>
      </c>
    </row>
    <row r="286" spans="1:20" x14ac:dyDescent="0.25">
      <c r="A286" s="14">
        <v>100285</v>
      </c>
      <c r="B286" s="15">
        <v>46221</v>
      </c>
      <c r="C286" s="16" t="s">
        <v>35</v>
      </c>
      <c r="D286" s="17" t="s">
        <v>36</v>
      </c>
      <c r="E286" s="16" t="s">
        <v>37</v>
      </c>
      <c r="F286" s="16" t="s">
        <v>19</v>
      </c>
      <c r="G286" s="17" t="s">
        <v>62</v>
      </c>
      <c r="H286" s="16" t="s">
        <v>165</v>
      </c>
      <c r="I286" s="16" t="s">
        <v>30</v>
      </c>
      <c r="J286" s="18">
        <v>1</v>
      </c>
      <c r="K286" s="19">
        <v>24000</v>
      </c>
      <c r="L286" s="20">
        <v>0.05</v>
      </c>
      <c r="M286" s="19">
        <f t="shared" si="16"/>
        <v>22800</v>
      </c>
      <c r="N286" s="19">
        <v>22800</v>
      </c>
      <c r="O286" s="4">
        <v>15000</v>
      </c>
      <c r="P286" s="17" t="s">
        <v>23</v>
      </c>
      <c r="Q286" s="17" t="s">
        <v>58</v>
      </c>
      <c r="R286" t="str">
        <f t="shared" si="17"/>
        <v>OK</v>
      </c>
      <c r="S286" s="2">
        <f t="shared" si="18"/>
        <v>1</v>
      </c>
      <c r="T286" s="35">
        <f t="shared" si="19"/>
        <v>7800</v>
      </c>
    </row>
    <row r="287" spans="1:20" x14ac:dyDescent="0.25">
      <c r="A287" s="21">
        <v>100286</v>
      </c>
      <c r="B287" s="22">
        <v>46097</v>
      </c>
      <c r="C287" s="23" t="s">
        <v>35</v>
      </c>
      <c r="D287" s="17" t="s">
        <v>36</v>
      </c>
      <c r="E287" s="23" t="s">
        <v>37</v>
      </c>
      <c r="F287" s="23" t="s">
        <v>44</v>
      </c>
      <c r="G287" s="17" t="s">
        <v>60</v>
      </c>
      <c r="H287" s="23" t="s">
        <v>213</v>
      </c>
      <c r="I287" s="23" t="s">
        <v>30</v>
      </c>
      <c r="J287" s="24">
        <v>1</v>
      </c>
      <c r="K287" s="25">
        <v>9000</v>
      </c>
      <c r="L287" s="26">
        <v>0.1</v>
      </c>
      <c r="M287" s="19">
        <f t="shared" si="16"/>
        <v>8100</v>
      </c>
      <c r="N287" s="25">
        <v>8100</v>
      </c>
      <c r="O287" s="4">
        <v>3500</v>
      </c>
      <c r="P287" s="27" t="s">
        <v>23</v>
      </c>
      <c r="Q287" s="17" t="s">
        <v>84</v>
      </c>
      <c r="R287" t="str">
        <f t="shared" si="17"/>
        <v>OK</v>
      </c>
      <c r="S287" s="2">
        <f t="shared" si="18"/>
        <v>1</v>
      </c>
      <c r="T287" s="35">
        <f t="shared" si="19"/>
        <v>4600</v>
      </c>
    </row>
    <row r="288" spans="1:20" x14ac:dyDescent="0.25">
      <c r="A288" s="14">
        <v>100287</v>
      </c>
      <c r="B288" s="15">
        <v>46078</v>
      </c>
      <c r="C288" s="16" t="s">
        <v>55</v>
      </c>
      <c r="D288" s="17" t="s">
        <v>56</v>
      </c>
      <c r="E288" s="16" t="s">
        <v>37</v>
      </c>
      <c r="F288" s="16" t="s">
        <v>27</v>
      </c>
      <c r="G288" s="17" t="s">
        <v>33</v>
      </c>
      <c r="H288" s="16" t="s">
        <v>214</v>
      </c>
      <c r="I288" s="16" t="s">
        <v>22</v>
      </c>
      <c r="J288" s="18">
        <v>3</v>
      </c>
      <c r="K288" s="19">
        <v>32000</v>
      </c>
      <c r="L288" s="20">
        <v>0.05</v>
      </c>
      <c r="M288" s="19">
        <f t="shared" si="16"/>
        <v>91200</v>
      </c>
      <c r="N288" s="19">
        <v>91200</v>
      </c>
      <c r="O288" s="4">
        <v>19000</v>
      </c>
      <c r="P288" s="17" t="s">
        <v>23</v>
      </c>
      <c r="Q288" s="17" t="s">
        <v>40</v>
      </c>
      <c r="R288" t="str">
        <f t="shared" si="17"/>
        <v>OK</v>
      </c>
      <c r="S288" s="2">
        <f t="shared" si="18"/>
        <v>1</v>
      </c>
      <c r="T288" s="35">
        <f t="shared" si="19"/>
        <v>34200</v>
      </c>
    </row>
    <row r="289" spans="1:20" x14ac:dyDescent="0.25">
      <c r="A289" s="21">
        <v>100288</v>
      </c>
      <c r="B289" s="22">
        <v>46177</v>
      </c>
      <c r="C289" s="23" t="s">
        <v>50</v>
      </c>
      <c r="D289" s="17" t="s">
        <v>51</v>
      </c>
      <c r="E289" s="23" t="s">
        <v>43</v>
      </c>
      <c r="F289" s="23" t="s">
        <v>27</v>
      </c>
      <c r="G289" s="17" t="s">
        <v>38</v>
      </c>
      <c r="H289" s="23" t="s">
        <v>154</v>
      </c>
      <c r="I289" s="23" t="s">
        <v>30</v>
      </c>
      <c r="J289" s="24">
        <v>1</v>
      </c>
      <c r="K289" s="25">
        <v>26000</v>
      </c>
      <c r="L289" s="26">
        <v>0.05</v>
      </c>
      <c r="M289" s="19">
        <f t="shared" si="16"/>
        <v>24700</v>
      </c>
      <c r="N289" s="25">
        <v>24700</v>
      </c>
      <c r="O289" s="4">
        <v>15000</v>
      </c>
      <c r="P289" s="27" t="s">
        <v>23</v>
      </c>
      <c r="Q289" s="17" t="s">
        <v>24</v>
      </c>
      <c r="R289" t="str">
        <f t="shared" si="17"/>
        <v>OK</v>
      </c>
      <c r="S289" s="2">
        <f t="shared" si="18"/>
        <v>1</v>
      </c>
      <c r="T289" s="35">
        <f t="shared" si="19"/>
        <v>9700</v>
      </c>
    </row>
    <row r="290" spans="1:20" x14ac:dyDescent="0.25">
      <c r="A290" s="14">
        <v>100289</v>
      </c>
      <c r="B290" s="15">
        <v>46224</v>
      </c>
      <c r="C290" s="16" t="s">
        <v>25</v>
      </c>
      <c r="D290" s="17" t="s">
        <v>26</v>
      </c>
      <c r="E290" s="16" t="s">
        <v>43</v>
      </c>
      <c r="F290" s="16" t="s">
        <v>27</v>
      </c>
      <c r="G290" s="17" t="s">
        <v>33</v>
      </c>
      <c r="H290" s="16" t="s">
        <v>215</v>
      </c>
      <c r="I290" s="16" t="s">
        <v>22</v>
      </c>
      <c r="J290" s="18">
        <v>3</v>
      </c>
      <c r="K290" s="19">
        <v>32000</v>
      </c>
      <c r="L290" s="20">
        <v>0.1</v>
      </c>
      <c r="M290" s="19">
        <f t="shared" si="16"/>
        <v>86400</v>
      </c>
      <c r="N290" s="19">
        <v>86400</v>
      </c>
      <c r="O290" s="4">
        <v>19000</v>
      </c>
      <c r="P290" s="17" t="s">
        <v>23</v>
      </c>
      <c r="Q290" s="17" t="s">
        <v>58</v>
      </c>
      <c r="R290" t="str">
        <f t="shared" si="17"/>
        <v>OK</v>
      </c>
      <c r="S290" s="2">
        <f t="shared" si="18"/>
        <v>1</v>
      </c>
      <c r="T290" s="35">
        <f t="shared" si="19"/>
        <v>29400</v>
      </c>
    </row>
    <row r="291" spans="1:20" x14ac:dyDescent="0.25">
      <c r="A291" s="21">
        <v>100290</v>
      </c>
      <c r="B291" s="22">
        <v>46116</v>
      </c>
      <c r="C291" s="23" t="s">
        <v>25</v>
      </c>
      <c r="D291" s="17" t="s">
        <v>26</v>
      </c>
      <c r="E291" s="23" t="s">
        <v>43</v>
      </c>
      <c r="F291" s="23" t="s">
        <v>27</v>
      </c>
      <c r="G291" s="17" t="s">
        <v>33</v>
      </c>
      <c r="H291" s="23" t="s">
        <v>29</v>
      </c>
      <c r="I291" s="23" t="s">
        <v>30</v>
      </c>
      <c r="J291" s="24">
        <v>5</v>
      </c>
      <c r="K291" s="25">
        <v>32000</v>
      </c>
      <c r="L291" s="26">
        <v>0.15</v>
      </c>
      <c r="M291" s="19">
        <f t="shared" si="16"/>
        <v>136000</v>
      </c>
      <c r="N291" s="25">
        <v>136000</v>
      </c>
      <c r="O291" s="4">
        <v>19000</v>
      </c>
      <c r="P291" s="27" t="s">
        <v>23</v>
      </c>
      <c r="Q291" s="17" t="s">
        <v>64</v>
      </c>
      <c r="R291" t="str">
        <f t="shared" si="17"/>
        <v>OK</v>
      </c>
      <c r="S291" s="2">
        <f t="shared" si="18"/>
        <v>1</v>
      </c>
      <c r="T291" s="35">
        <f t="shared" si="19"/>
        <v>41000</v>
      </c>
    </row>
    <row r="292" spans="1:20" x14ac:dyDescent="0.25">
      <c r="A292" s="14">
        <v>100291</v>
      </c>
      <c r="B292" s="15">
        <v>46110</v>
      </c>
      <c r="C292" s="16" t="s">
        <v>50</v>
      </c>
      <c r="D292" s="17" t="s">
        <v>51</v>
      </c>
      <c r="E292" s="16" t="s">
        <v>43</v>
      </c>
      <c r="F292" s="16" t="s">
        <v>27</v>
      </c>
      <c r="G292" s="17" t="s">
        <v>33</v>
      </c>
      <c r="H292" s="16" t="s">
        <v>79</v>
      </c>
      <c r="I292" s="16" t="s">
        <v>30</v>
      </c>
      <c r="J292" s="18">
        <v>1</v>
      </c>
      <c r="K292" s="19">
        <v>32000</v>
      </c>
      <c r="L292" s="20">
        <v>0.1</v>
      </c>
      <c r="M292" s="19">
        <f t="shared" si="16"/>
        <v>28800</v>
      </c>
      <c r="N292" s="19">
        <v>28800</v>
      </c>
      <c r="O292" s="4">
        <v>19000</v>
      </c>
      <c r="P292" s="17" t="s">
        <v>23</v>
      </c>
      <c r="Q292" s="17" t="s">
        <v>54</v>
      </c>
      <c r="R292" t="str">
        <f t="shared" si="17"/>
        <v>OK</v>
      </c>
      <c r="S292" s="2">
        <f t="shared" si="18"/>
        <v>1</v>
      </c>
      <c r="T292" s="35">
        <f t="shared" si="19"/>
        <v>9800</v>
      </c>
    </row>
    <row r="293" spans="1:20" x14ac:dyDescent="0.25">
      <c r="A293" s="21">
        <v>100292</v>
      </c>
      <c r="B293" s="22">
        <v>46130</v>
      </c>
      <c r="C293" s="23" t="s">
        <v>42</v>
      </c>
      <c r="D293" s="17" t="s">
        <v>26</v>
      </c>
      <c r="E293" s="23" t="s">
        <v>18</v>
      </c>
      <c r="F293" s="23" t="s">
        <v>27</v>
      </c>
      <c r="G293" s="17" t="s">
        <v>28</v>
      </c>
      <c r="H293" s="23" t="s">
        <v>90</v>
      </c>
      <c r="I293" s="23" t="s">
        <v>30</v>
      </c>
      <c r="J293" s="24">
        <v>1</v>
      </c>
      <c r="K293" s="25">
        <v>165000</v>
      </c>
      <c r="L293" s="26">
        <v>0.15</v>
      </c>
      <c r="M293" s="19">
        <f t="shared" si="16"/>
        <v>140250</v>
      </c>
      <c r="N293" s="25">
        <v>140250</v>
      </c>
      <c r="O293" s="4">
        <v>112000</v>
      </c>
      <c r="P293" s="27" t="s">
        <v>23</v>
      </c>
      <c r="Q293" s="17" t="s">
        <v>64</v>
      </c>
      <c r="R293" t="str">
        <f t="shared" si="17"/>
        <v>OK</v>
      </c>
      <c r="S293" s="2">
        <f t="shared" si="18"/>
        <v>1</v>
      </c>
      <c r="T293" s="35">
        <f t="shared" si="19"/>
        <v>28250</v>
      </c>
    </row>
    <row r="294" spans="1:20" x14ac:dyDescent="0.25">
      <c r="A294" s="14">
        <v>100293</v>
      </c>
      <c r="B294" s="15">
        <v>46122</v>
      </c>
      <c r="C294" s="16" t="s">
        <v>55</v>
      </c>
      <c r="D294" s="17" t="s">
        <v>56</v>
      </c>
      <c r="E294" s="16" t="s">
        <v>18</v>
      </c>
      <c r="F294" s="16" t="s">
        <v>44</v>
      </c>
      <c r="G294" s="17" t="s">
        <v>65</v>
      </c>
      <c r="H294" s="16" t="s">
        <v>133</v>
      </c>
      <c r="I294" s="16" t="s">
        <v>22</v>
      </c>
      <c r="J294" s="18">
        <v>2</v>
      </c>
      <c r="K294" s="19">
        <v>28000</v>
      </c>
      <c r="L294" s="20">
        <v>0</v>
      </c>
      <c r="M294" s="19">
        <f t="shared" si="16"/>
        <v>56000</v>
      </c>
      <c r="N294" s="19">
        <v>56000</v>
      </c>
      <c r="O294" s="4">
        <v>16000</v>
      </c>
      <c r="P294" s="17" t="s">
        <v>23</v>
      </c>
      <c r="Q294" s="17" t="s">
        <v>47</v>
      </c>
      <c r="R294" t="str">
        <f t="shared" si="17"/>
        <v>OK</v>
      </c>
      <c r="S294" s="2">
        <f t="shared" si="18"/>
        <v>1</v>
      </c>
      <c r="T294" s="35">
        <f t="shared" si="19"/>
        <v>24000</v>
      </c>
    </row>
    <row r="295" spans="1:20" x14ac:dyDescent="0.25">
      <c r="A295" s="21">
        <v>100294</v>
      </c>
      <c r="B295" s="22">
        <v>46223</v>
      </c>
      <c r="C295" s="23" t="s">
        <v>50</v>
      </c>
      <c r="D295" s="17" t="s">
        <v>51</v>
      </c>
      <c r="E295" s="23" t="s">
        <v>43</v>
      </c>
      <c r="F295" s="23" t="s">
        <v>27</v>
      </c>
      <c r="G295" s="17" t="s">
        <v>38</v>
      </c>
      <c r="H295" s="23" t="s">
        <v>210</v>
      </c>
      <c r="I295" s="23" t="s">
        <v>22</v>
      </c>
      <c r="J295" s="24">
        <v>3</v>
      </c>
      <c r="K295" s="25">
        <v>26000</v>
      </c>
      <c r="L295" s="26">
        <v>0.1</v>
      </c>
      <c r="M295" s="19">
        <f t="shared" si="16"/>
        <v>70200</v>
      </c>
      <c r="N295" s="25">
        <v>63180</v>
      </c>
      <c r="O295" s="4">
        <v>15000</v>
      </c>
      <c r="P295" s="27" t="s">
        <v>23</v>
      </c>
      <c r="Q295" s="17" t="s">
        <v>54</v>
      </c>
      <c r="R295" t="str">
        <f t="shared" si="17"/>
        <v>REVENUE MISMATCH</v>
      </c>
      <c r="S295" s="2">
        <f t="shared" si="18"/>
        <v>0.9</v>
      </c>
      <c r="T295" s="35">
        <f t="shared" si="19"/>
        <v>25200</v>
      </c>
    </row>
    <row r="296" spans="1:20" x14ac:dyDescent="0.25">
      <c r="A296" s="14">
        <v>100295</v>
      </c>
      <c r="B296" s="15">
        <v>46066</v>
      </c>
      <c r="C296" s="16" t="s">
        <v>50</v>
      </c>
      <c r="D296" s="17" t="s">
        <v>51</v>
      </c>
      <c r="E296" s="16" t="s">
        <v>18</v>
      </c>
      <c r="F296" s="16" t="s">
        <v>27</v>
      </c>
      <c r="G296" s="17" t="s">
        <v>33</v>
      </c>
      <c r="H296" s="16" t="s">
        <v>216</v>
      </c>
      <c r="I296" s="16" t="s">
        <v>22</v>
      </c>
      <c r="J296" s="18">
        <v>1</v>
      </c>
      <c r="K296" s="19">
        <v>32000</v>
      </c>
      <c r="L296" s="20">
        <v>0.15</v>
      </c>
      <c r="M296" s="19">
        <f t="shared" si="16"/>
        <v>27200</v>
      </c>
      <c r="N296" s="19">
        <v>27200</v>
      </c>
      <c r="O296" s="4">
        <v>19000</v>
      </c>
      <c r="P296" s="17" t="s">
        <v>76</v>
      </c>
      <c r="Q296" s="17" t="s">
        <v>31</v>
      </c>
      <c r="R296" t="str">
        <f t="shared" si="17"/>
        <v>OK</v>
      </c>
      <c r="S296" s="2">
        <f t="shared" si="18"/>
        <v>1</v>
      </c>
      <c r="T296" s="35">
        <f t="shared" si="19"/>
        <v>8200</v>
      </c>
    </row>
    <row r="297" spans="1:20" x14ac:dyDescent="0.25">
      <c r="A297" s="21">
        <v>100296</v>
      </c>
      <c r="B297" s="22">
        <v>46138</v>
      </c>
      <c r="C297" s="23" t="s">
        <v>50</v>
      </c>
      <c r="D297" s="17" t="s">
        <v>51</v>
      </c>
      <c r="E297" s="23" t="s">
        <v>18</v>
      </c>
      <c r="F297" s="23" t="s">
        <v>27</v>
      </c>
      <c r="G297" s="17" t="s">
        <v>33</v>
      </c>
      <c r="H297" s="23" t="s">
        <v>144</v>
      </c>
      <c r="I297" s="23" t="s">
        <v>22</v>
      </c>
      <c r="J297" s="24">
        <v>2</v>
      </c>
      <c r="K297" s="25">
        <v>32000</v>
      </c>
      <c r="L297" s="26">
        <v>0.05</v>
      </c>
      <c r="M297" s="19">
        <f t="shared" si="16"/>
        <v>60800</v>
      </c>
      <c r="N297" s="25">
        <v>72960</v>
      </c>
      <c r="O297" s="4">
        <v>19000</v>
      </c>
      <c r="P297" s="27" t="s">
        <v>76</v>
      </c>
      <c r="Q297" s="17" t="s">
        <v>47</v>
      </c>
      <c r="R297" t="str">
        <f t="shared" si="17"/>
        <v>REVENUE MISMATCH</v>
      </c>
      <c r="S297" s="2">
        <f t="shared" si="18"/>
        <v>1.2</v>
      </c>
      <c r="T297" s="35">
        <f t="shared" si="19"/>
        <v>22800</v>
      </c>
    </row>
    <row r="298" spans="1:20" x14ac:dyDescent="0.25">
      <c r="A298" s="14">
        <v>100297</v>
      </c>
      <c r="B298" s="15">
        <v>46038</v>
      </c>
      <c r="C298" s="16" t="s">
        <v>50</v>
      </c>
      <c r="D298" s="17" t="s">
        <v>51</v>
      </c>
      <c r="E298" s="16" t="s">
        <v>37</v>
      </c>
      <c r="F298" s="16" t="s">
        <v>19</v>
      </c>
      <c r="G298" s="17" t="s">
        <v>20</v>
      </c>
      <c r="H298" s="16" t="s">
        <v>39</v>
      </c>
      <c r="I298" s="16" t="s">
        <v>22</v>
      </c>
      <c r="J298" s="18">
        <v>1</v>
      </c>
      <c r="K298" s="19">
        <v>58000</v>
      </c>
      <c r="L298" s="20">
        <v>0</v>
      </c>
      <c r="M298" s="19">
        <f t="shared" si="16"/>
        <v>58000</v>
      </c>
      <c r="N298" s="19">
        <v>58000</v>
      </c>
      <c r="O298" s="4">
        <v>39000</v>
      </c>
      <c r="P298" s="17" t="s">
        <v>23</v>
      </c>
      <c r="Q298" s="17" t="s">
        <v>24</v>
      </c>
      <c r="R298" t="str">
        <f t="shared" si="17"/>
        <v>OK</v>
      </c>
      <c r="S298" s="2">
        <f t="shared" si="18"/>
        <v>1</v>
      </c>
      <c r="T298" s="35">
        <f t="shared" si="19"/>
        <v>19000</v>
      </c>
    </row>
    <row r="299" spans="1:20" x14ac:dyDescent="0.25">
      <c r="A299" s="21">
        <v>100298</v>
      </c>
      <c r="B299" s="22">
        <v>46054</v>
      </c>
      <c r="C299" s="23" t="s">
        <v>42</v>
      </c>
      <c r="D299" s="17" t="s">
        <v>26</v>
      </c>
      <c r="E299" s="23" t="s">
        <v>37</v>
      </c>
      <c r="F299" s="23" t="s">
        <v>27</v>
      </c>
      <c r="G299" s="17" t="s">
        <v>38</v>
      </c>
      <c r="H299" s="23" t="s">
        <v>217</v>
      </c>
      <c r="I299" s="23" t="s">
        <v>30</v>
      </c>
      <c r="J299" s="24">
        <v>4</v>
      </c>
      <c r="K299" s="25">
        <v>26000</v>
      </c>
      <c r="L299" s="26">
        <v>0.1</v>
      </c>
      <c r="M299" s="19">
        <f t="shared" si="16"/>
        <v>93600</v>
      </c>
      <c r="N299" s="25">
        <v>93600</v>
      </c>
      <c r="O299" s="4">
        <v>15000</v>
      </c>
      <c r="P299" s="27" t="s">
        <v>23</v>
      </c>
      <c r="Q299" s="17" t="s">
        <v>54</v>
      </c>
      <c r="R299" t="str">
        <f t="shared" si="17"/>
        <v>OK</v>
      </c>
      <c r="S299" s="2">
        <f t="shared" si="18"/>
        <v>1</v>
      </c>
      <c r="T299" s="35">
        <f t="shared" si="19"/>
        <v>33600</v>
      </c>
    </row>
    <row r="300" spans="1:20" x14ac:dyDescent="0.25">
      <c r="A300" s="14">
        <v>100299</v>
      </c>
      <c r="B300" s="15">
        <v>46209</v>
      </c>
      <c r="C300" s="16" t="s">
        <v>25</v>
      </c>
      <c r="D300" s="17" t="s">
        <v>26</v>
      </c>
      <c r="E300" s="16" t="s">
        <v>43</v>
      </c>
      <c r="F300" s="16" t="s">
        <v>44</v>
      </c>
      <c r="G300" s="17" t="s">
        <v>65</v>
      </c>
      <c r="H300" s="16" t="s">
        <v>141</v>
      </c>
      <c r="I300" s="16" t="s">
        <v>30</v>
      </c>
      <c r="J300" s="18">
        <v>2</v>
      </c>
      <c r="K300" s="19">
        <v>28000</v>
      </c>
      <c r="L300" s="20">
        <v>0.1</v>
      </c>
      <c r="M300" s="19">
        <f t="shared" si="16"/>
        <v>50400</v>
      </c>
      <c r="N300" s="19">
        <v>50400</v>
      </c>
      <c r="O300" s="4">
        <v>16000</v>
      </c>
      <c r="P300" s="17" t="s">
        <v>23</v>
      </c>
      <c r="Q300" s="17" t="s">
        <v>31</v>
      </c>
      <c r="R300" t="str">
        <f t="shared" si="17"/>
        <v>OK</v>
      </c>
      <c r="S300" s="2">
        <f t="shared" si="18"/>
        <v>1</v>
      </c>
      <c r="T300" s="35">
        <f t="shared" si="19"/>
        <v>18400</v>
      </c>
    </row>
    <row r="301" spans="1:20" x14ac:dyDescent="0.25">
      <c r="A301" s="21">
        <v>100300</v>
      </c>
      <c r="B301" s="22">
        <v>46028</v>
      </c>
      <c r="C301" s="23" t="s">
        <v>55</v>
      </c>
      <c r="D301" s="17" t="s">
        <v>56</v>
      </c>
      <c r="E301" s="23" t="s">
        <v>18</v>
      </c>
      <c r="F301" s="23" t="s">
        <v>44</v>
      </c>
      <c r="G301" s="17" t="s">
        <v>241</v>
      </c>
      <c r="H301" s="23" t="s">
        <v>193</v>
      </c>
      <c r="I301" s="23" t="s">
        <v>22</v>
      </c>
      <c r="J301" s="24">
        <v>4</v>
      </c>
      <c r="K301" s="25">
        <v>6500</v>
      </c>
      <c r="L301" s="26">
        <v>0.1</v>
      </c>
      <c r="M301" s="19">
        <f t="shared" si="16"/>
        <v>23400</v>
      </c>
      <c r="N301" s="25">
        <v>23400</v>
      </c>
      <c r="O301" s="4">
        <v>2200</v>
      </c>
      <c r="P301" s="27" t="s">
        <v>23</v>
      </c>
      <c r="Q301" s="17" t="s">
        <v>31</v>
      </c>
      <c r="R301" t="str">
        <f t="shared" si="17"/>
        <v>OK</v>
      </c>
      <c r="S301" s="2">
        <f t="shared" si="18"/>
        <v>1</v>
      </c>
      <c r="T301" s="35">
        <f t="shared" si="19"/>
        <v>14600</v>
      </c>
    </row>
    <row r="302" spans="1:20" x14ac:dyDescent="0.25">
      <c r="A302" s="14">
        <v>100301</v>
      </c>
      <c r="B302" s="15">
        <v>46087</v>
      </c>
      <c r="C302" s="16" t="s">
        <v>42</v>
      </c>
      <c r="D302" s="17" t="s">
        <v>26</v>
      </c>
      <c r="E302" s="16" t="s">
        <v>43</v>
      </c>
      <c r="F302" s="16" t="s">
        <v>27</v>
      </c>
      <c r="G302" s="17" t="s">
        <v>38</v>
      </c>
      <c r="H302" s="16" t="s">
        <v>95</v>
      </c>
      <c r="I302" s="16" t="s">
        <v>30</v>
      </c>
      <c r="J302" s="18">
        <v>5</v>
      </c>
      <c r="K302" s="19">
        <v>26000</v>
      </c>
      <c r="L302" s="20">
        <v>0.05</v>
      </c>
      <c r="M302" s="19">
        <f t="shared" si="16"/>
        <v>123500</v>
      </c>
      <c r="N302" s="19">
        <v>98800</v>
      </c>
      <c r="O302" s="4">
        <v>15000</v>
      </c>
      <c r="P302" s="17" t="s">
        <v>76</v>
      </c>
      <c r="Q302" s="17" t="s">
        <v>84</v>
      </c>
      <c r="R302" t="str">
        <f t="shared" si="17"/>
        <v>REVENUE MISMATCH</v>
      </c>
      <c r="S302" s="2">
        <f t="shared" si="18"/>
        <v>0.8</v>
      </c>
      <c r="T302" s="35">
        <f t="shared" si="19"/>
        <v>48500</v>
      </c>
    </row>
    <row r="303" spans="1:20" x14ac:dyDescent="0.25">
      <c r="A303" s="21">
        <v>100302</v>
      </c>
      <c r="B303" s="22">
        <v>46081</v>
      </c>
      <c r="C303" s="23" t="s">
        <v>42</v>
      </c>
      <c r="D303" s="17" t="s">
        <v>26</v>
      </c>
      <c r="E303" s="23" t="s">
        <v>43</v>
      </c>
      <c r="F303" s="23" t="s">
        <v>44</v>
      </c>
      <c r="G303" s="17" t="s">
        <v>65</v>
      </c>
      <c r="H303" s="23" t="s">
        <v>99</v>
      </c>
      <c r="I303" s="23" t="s">
        <v>30</v>
      </c>
      <c r="J303" s="24">
        <v>4</v>
      </c>
      <c r="K303" s="25">
        <v>28000</v>
      </c>
      <c r="L303" s="26">
        <v>0</v>
      </c>
      <c r="M303" s="19">
        <f t="shared" si="16"/>
        <v>112000</v>
      </c>
      <c r="N303" s="25">
        <v>112000</v>
      </c>
      <c r="O303" s="4">
        <v>16000</v>
      </c>
      <c r="P303" s="27" t="s">
        <v>23</v>
      </c>
      <c r="Q303" s="17" t="s">
        <v>47</v>
      </c>
      <c r="R303" t="str">
        <f t="shared" si="17"/>
        <v>OK</v>
      </c>
      <c r="S303" s="2">
        <f t="shared" si="18"/>
        <v>1</v>
      </c>
      <c r="T303" s="35">
        <f t="shared" si="19"/>
        <v>48000</v>
      </c>
    </row>
    <row r="304" spans="1:20" x14ac:dyDescent="0.25">
      <c r="A304" s="14">
        <v>100303</v>
      </c>
      <c r="B304" s="15">
        <v>46069</v>
      </c>
      <c r="C304" s="16" t="s">
        <v>50</v>
      </c>
      <c r="D304" s="17" t="s">
        <v>51</v>
      </c>
      <c r="E304" s="16" t="s">
        <v>43</v>
      </c>
      <c r="F304" s="16" t="s">
        <v>44</v>
      </c>
      <c r="G304" s="17" t="s">
        <v>60</v>
      </c>
      <c r="H304" s="16" t="s">
        <v>117</v>
      </c>
      <c r="I304" s="16" t="s">
        <v>30</v>
      </c>
      <c r="J304" s="18">
        <v>2</v>
      </c>
      <c r="K304" s="19">
        <v>9000</v>
      </c>
      <c r="L304" s="20">
        <v>0.1</v>
      </c>
      <c r="M304" s="19">
        <f t="shared" si="16"/>
        <v>16200</v>
      </c>
      <c r="N304" s="19">
        <v>16200</v>
      </c>
      <c r="O304" s="4">
        <v>3500</v>
      </c>
      <c r="P304" s="17" t="s">
        <v>23</v>
      </c>
      <c r="Q304" s="17" t="s">
        <v>64</v>
      </c>
      <c r="R304" t="str">
        <f t="shared" si="17"/>
        <v>OK</v>
      </c>
      <c r="S304" s="2">
        <f t="shared" si="18"/>
        <v>1</v>
      </c>
      <c r="T304" s="35">
        <f t="shared" si="19"/>
        <v>9200</v>
      </c>
    </row>
    <row r="305" spans="1:20" x14ac:dyDescent="0.25">
      <c r="A305" s="21">
        <v>100304</v>
      </c>
      <c r="B305" s="22">
        <v>46204</v>
      </c>
      <c r="C305" s="23" t="s">
        <v>35</v>
      </c>
      <c r="D305" s="17" t="s">
        <v>36</v>
      </c>
      <c r="E305" s="23" t="s">
        <v>18</v>
      </c>
      <c r="F305" s="23" t="s">
        <v>19</v>
      </c>
      <c r="G305" s="17" t="s">
        <v>20</v>
      </c>
      <c r="H305" s="23" t="s">
        <v>218</v>
      </c>
      <c r="I305" s="23" t="s">
        <v>22</v>
      </c>
      <c r="J305" s="24">
        <v>5</v>
      </c>
      <c r="K305" s="25">
        <v>58000</v>
      </c>
      <c r="L305" s="26">
        <v>0.1</v>
      </c>
      <c r="M305" s="19">
        <f t="shared" si="16"/>
        <v>261000</v>
      </c>
      <c r="N305" s="25">
        <v>261000</v>
      </c>
      <c r="O305" s="4">
        <v>39000</v>
      </c>
      <c r="P305" s="27" t="s">
        <v>23</v>
      </c>
      <c r="Q305" s="17" t="s">
        <v>47</v>
      </c>
      <c r="R305" t="str">
        <f t="shared" si="17"/>
        <v>OK</v>
      </c>
      <c r="S305" s="2">
        <f t="shared" si="18"/>
        <v>1</v>
      </c>
      <c r="T305" s="35">
        <f t="shared" si="19"/>
        <v>66000</v>
      </c>
    </row>
    <row r="306" spans="1:20" x14ac:dyDescent="0.25">
      <c r="A306" s="14">
        <v>100305</v>
      </c>
      <c r="B306" s="15">
        <v>46032</v>
      </c>
      <c r="C306" s="16" t="s">
        <v>25</v>
      </c>
      <c r="D306" s="17" t="s">
        <v>26</v>
      </c>
      <c r="E306" s="16" t="s">
        <v>37</v>
      </c>
      <c r="F306" s="16" t="s">
        <v>27</v>
      </c>
      <c r="G306" s="17" t="s">
        <v>33</v>
      </c>
      <c r="H306" s="16" t="s">
        <v>168</v>
      </c>
      <c r="I306" s="16" t="s">
        <v>30</v>
      </c>
      <c r="J306" s="18">
        <v>2</v>
      </c>
      <c r="K306" s="19">
        <v>32000</v>
      </c>
      <c r="L306" s="20">
        <v>0.05</v>
      </c>
      <c r="M306" s="19">
        <f t="shared" si="16"/>
        <v>60800</v>
      </c>
      <c r="N306" s="19">
        <v>60800</v>
      </c>
      <c r="O306" s="4">
        <v>19000</v>
      </c>
      <c r="P306" s="17" t="s">
        <v>23</v>
      </c>
      <c r="Q306" s="17" t="s">
        <v>40</v>
      </c>
      <c r="R306" t="str">
        <f t="shared" si="17"/>
        <v>OK</v>
      </c>
      <c r="S306" s="2">
        <f t="shared" si="18"/>
        <v>1</v>
      </c>
      <c r="T306" s="35">
        <f t="shared" si="19"/>
        <v>22800</v>
      </c>
    </row>
    <row r="307" spans="1:20" x14ac:dyDescent="0.25">
      <c r="A307" s="21">
        <v>100306</v>
      </c>
      <c r="B307" s="22">
        <v>46095</v>
      </c>
      <c r="C307" s="23" t="s">
        <v>55</v>
      </c>
      <c r="D307" s="17" t="s">
        <v>56</v>
      </c>
      <c r="E307" s="23" t="s">
        <v>43</v>
      </c>
      <c r="F307" s="23" t="s">
        <v>44</v>
      </c>
      <c r="G307" s="17" t="s">
        <v>60</v>
      </c>
      <c r="H307" s="23" t="s">
        <v>217</v>
      </c>
      <c r="I307" s="23" t="s">
        <v>22</v>
      </c>
      <c r="J307" s="24">
        <v>1</v>
      </c>
      <c r="K307" s="25">
        <v>9000</v>
      </c>
      <c r="L307" s="26">
        <v>0.15</v>
      </c>
      <c r="M307" s="19">
        <f t="shared" si="16"/>
        <v>7650</v>
      </c>
      <c r="N307" s="25">
        <v>7650</v>
      </c>
      <c r="O307" s="4">
        <v>3500</v>
      </c>
      <c r="P307" s="27" t="s">
        <v>23</v>
      </c>
      <c r="Q307" s="17" t="s">
        <v>84</v>
      </c>
      <c r="R307" t="str">
        <f t="shared" si="17"/>
        <v>OK</v>
      </c>
      <c r="S307" s="2">
        <f t="shared" si="18"/>
        <v>1</v>
      </c>
      <c r="T307" s="35">
        <f t="shared" si="19"/>
        <v>4150</v>
      </c>
    </row>
    <row r="308" spans="1:20" x14ac:dyDescent="0.25">
      <c r="A308" s="14">
        <v>100307</v>
      </c>
      <c r="B308" s="15">
        <v>46201</v>
      </c>
      <c r="C308" s="16" t="s">
        <v>50</v>
      </c>
      <c r="D308" s="17" t="s">
        <v>51</v>
      </c>
      <c r="E308" s="16" t="s">
        <v>37</v>
      </c>
      <c r="F308" s="16" t="s">
        <v>27</v>
      </c>
      <c r="G308" s="17" t="s">
        <v>38</v>
      </c>
      <c r="H308" s="16" t="s">
        <v>219</v>
      </c>
      <c r="I308" s="16" t="s">
        <v>22</v>
      </c>
      <c r="J308" s="18">
        <v>3</v>
      </c>
      <c r="K308" s="19">
        <v>26000</v>
      </c>
      <c r="L308" s="20">
        <v>0</v>
      </c>
      <c r="M308" s="19">
        <f t="shared" si="16"/>
        <v>78000</v>
      </c>
      <c r="N308" s="19">
        <v>78000</v>
      </c>
      <c r="O308" s="4">
        <v>15000</v>
      </c>
      <c r="P308" s="17" t="s">
        <v>23</v>
      </c>
      <c r="Q308" s="17" t="s">
        <v>64</v>
      </c>
      <c r="R308" t="str">
        <f t="shared" si="17"/>
        <v>OK</v>
      </c>
      <c r="S308" s="2">
        <f t="shared" si="18"/>
        <v>1</v>
      </c>
      <c r="T308" s="35">
        <f t="shared" si="19"/>
        <v>33000</v>
      </c>
    </row>
    <row r="309" spans="1:20" x14ac:dyDescent="0.25">
      <c r="A309" s="21">
        <v>100308</v>
      </c>
      <c r="B309" s="22">
        <v>46238</v>
      </c>
      <c r="C309" s="23" t="s">
        <v>42</v>
      </c>
      <c r="D309" s="17" t="s">
        <v>26</v>
      </c>
      <c r="E309" s="23" t="s">
        <v>37</v>
      </c>
      <c r="F309" s="23" t="s">
        <v>19</v>
      </c>
      <c r="G309" s="17" t="s">
        <v>52</v>
      </c>
      <c r="H309" s="23" t="s">
        <v>163</v>
      </c>
      <c r="I309" s="23" t="s">
        <v>30</v>
      </c>
      <c r="J309" s="24">
        <v>1</v>
      </c>
      <c r="K309" s="25">
        <v>42000</v>
      </c>
      <c r="L309" s="26">
        <v>0.05</v>
      </c>
      <c r="M309" s="19">
        <f t="shared" si="16"/>
        <v>39900</v>
      </c>
      <c r="N309" s="25">
        <v>39900</v>
      </c>
      <c r="O309" s="4">
        <v>28000</v>
      </c>
      <c r="P309" s="27" t="s">
        <v>23</v>
      </c>
      <c r="Q309" s="17" t="s">
        <v>84</v>
      </c>
      <c r="R309" t="str">
        <f t="shared" si="17"/>
        <v>OK</v>
      </c>
      <c r="S309" s="2">
        <f t="shared" si="18"/>
        <v>1</v>
      </c>
      <c r="T309" s="35">
        <f t="shared" si="19"/>
        <v>11900</v>
      </c>
    </row>
    <row r="310" spans="1:20" x14ac:dyDescent="0.25">
      <c r="A310" s="14">
        <v>100309</v>
      </c>
      <c r="B310" s="15">
        <v>46154</v>
      </c>
      <c r="C310" s="16" t="s">
        <v>42</v>
      </c>
      <c r="D310" s="17" t="s">
        <v>26</v>
      </c>
      <c r="E310" s="16" t="s">
        <v>43</v>
      </c>
      <c r="F310" s="16" t="s">
        <v>44</v>
      </c>
      <c r="G310" s="17" t="s">
        <v>241</v>
      </c>
      <c r="H310" s="16" t="s">
        <v>220</v>
      </c>
      <c r="I310" s="16" t="s">
        <v>22</v>
      </c>
      <c r="J310" s="18">
        <v>3</v>
      </c>
      <c r="K310" s="19">
        <v>6500</v>
      </c>
      <c r="L310" s="20">
        <v>0.15</v>
      </c>
      <c r="M310" s="19">
        <f t="shared" si="16"/>
        <v>16575</v>
      </c>
      <c r="N310" s="19">
        <v>16575</v>
      </c>
      <c r="O310" s="4">
        <v>2200</v>
      </c>
      <c r="P310" s="17" t="s">
        <v>23</v>
      </c>
      <c r="Q310" s="17" t="s">
        <v>64</v>
      </c>
      <c r="R310" t="str">
        <f t="shared" si="17"/>
        <v>OK</v>
      </c>
      <c r="S310" s="2">
        <f t="shared" si="18"/>
        <v>1</v>
      </c>
      <c r="T310" s="35">
        <f t="shared" si="19"/>
        <v>9975</v>
      </c>
    </row>
    <row r="311" spans="1:20" x14ac:dyDescent="0.25">
      <c r="A311" s="21">
        <v>100310</v>
      </c>
      <c r="B311" s="22">
        <v>46085</v>
      </c>
      <c r="C311" s="23" t="s">
        <v>25</v>
      </c>
      <c r="D311" s="17" t="s">
        <v>26</v>
      </c>
      <c r="E311" s="23" t="s">
        <v>37</v>
      </c>
      <c r="F311" s="23" t="s">
        <v>27</v>
      </c>
      <c r="G311" s="17" t="s">
        <v>33</v>
      </c>
      <c r="H311" s="23" t="s">
        <v>66</v>
      </c>
      <c r="I311" s="23" t="s">
        <v>22</v>
      </c>
      <c r="J311" s="24">
        <v>4</v>
      </c>
      <c r="K311" s="25">
        <v>32000</v>
      </c>
      <c r="L311" s="26">
        <v>0.1</v>
      </c>
      <c r="M311" s="19">
        <f t="shared" si="16"/>
        <v>115200</v>
      </c>
      <c r="N311" s="25">
        <v>115200</v>
      </c>
      <c r="O311" s="4">
        <v>19000</v>
      </c>
      <c r="P311" s="27" t="s">
        <v>23</v>
      </c>
      <c r="Q311" s="17" t="s">
        <v>64</v>
      </c>
      <c r="R311" t="str">
        <f t="shared" si="17"/>
        <v>OK</v>
      </c>
      <c r="S311" s="2">
        <f t="shared" si="18"/>
        <v>1</v>
      </c>
      <c r="T311" s="35">
        <f t="shared" si="19"/>
        <v>39200</v>
      </c>
    </row>
    <row r="312" spans="1:20" x14ac:dyDescent="0.25">
      <c r="A312" s="14">
        <v>100311</v>
      </c>
      <c r="B312" s="15">
        <v>46175</v>
      </c>
      <c r="C312" s="16" t="s">
        <v>32</v>
      </c>
      <c r="D312" s="17" t="s">
        <v>17</v>
      </c>
      <c r="E312" s="16" t="s">
        <v>37</v>
      </c>
      <c r="F312" s="16" t="s">
        <v>44</v>
      </c>
      <c r="G312" s="17" t="s">
        <v>241</v>
      </c>
      <c r="H312" s="16" t="s">
        <v>128</v>
      </c>
      <c r="I312" s="16" t="s">
        <v>30</v>
      </c>
      <c r="J312" s="18">
        <v>1</v>
      </c>
      <c r="K312" s="19">
        <v>6500</v>
      </c>
      <c r="L312" s="20">
        <v>0.05</v>
      </c>
      <c r="M312" s="19">
        <f t="shared" si="16"/>
        <v>6175</v>
      </c>
      <c r="N312" s="19">
        <v>6175</v>
      </c>
      <c r="O312" s="4">
        <v>2200</v>
      </c>
      <c r="P312" s="17" t="s">
        <v>23</v>
      </c>
      <c r="Q312" s="17" t="s">
        <v>84</v>
      </c>
      <c r="R312" t="str">
        <f t="shared" si="17"/>
        <v>OK</v>
      </c>
      <c r="S312" s="2">
        <f t="shared" si="18"/>
        <v>1</v>
      </c>
      <c r="T312" s="35">
        <f t="shared" si="19"/>
        <v>3975</v>
      </c>
    </row>
    <row r="313" spans="1:20" x14ac:dyDescent="0.25">
      <c r="A313" s="21">
        <v>100312</v>
      </c>
      <c r="B313" s="22">
        <v>46080</v>
      </c>
      <c r="C313" s="23" t="s">
        <v>42</v>
      </c>
      <c r="D313" s="17" t="s">
        <v>26</v>
      </c>
      <c r="E313" s="23" t="s">
        <v>43</v>
      </c>
      <c r="F313" s="23" t="s">
        <v>27</v>
      </c>
      <c r="G313" s="17" t="s">
        <v>33</v>
      </c>
      <c r="H313" s="23" t="s">
        <v>48</v>
      </c>
      <c r="I313" s="23" t="s">
        <v>22</v>
      </c>
      <c r="J313" s="24">
        <v>3</v>
      </c>
      <c r="K313" s="25">
        <v>32000</v>
      </c>
      <c r="L313" s="26">
        <v>0.15</v>
      </c>
      <c r="M313" s="19">
        <f t="shared" si="16"/>
        <v>81600</v>
      </c>
      <c r="N313" s="25">
        <v>81600</v>
      </c>
      <c r="O313" s="4">
        <v>19000</v>
      </c>
      <c r="P313" s="27" t="s">
        <v>23</v>
      </c>
      <c r="Q313" s="17" t="s">
        <v>31</v>
      </c>
      <c r="R313" t="str">
        <f t="shared" si="17"/>
        <v>OK</v>
      </c>
      <c r="S313" s="2">
        <f t="shared" si="18"/>
        <v>1</v>
      </c>
      <c r="T313" s="35">
        <f t="shared" si="19"/>
        <v>24600</v>
      </c>
    </row>
    <row r="314" spans="1:20" x14ac:dyDescent="0.25">
      <c r="A314" s="14">
        <v>100313</v>
      </c>
      <c r="B314" s="15">
        <v>46241</v>
      </c>
      <c r="C314" s="16" t="s">
        <v>25</v>
      </c>
      <c r="D314" s="17" t="s">
        <v>26</v>
      </c>
      <c r="E314" s="16" t="s">
        <v>43</v>
      </c>
      <c r="F314" s="16" t="s">
        <v>44</v>
      </c>
      <c r="G314" s="17" t="s">
        <v>241</v>
      </c>
      <c r="H314" s="16" t="s">
        <v>146</v>
      </c>
      <c r="I314" s="16" t="s">
        <v>30</v>
      </c>
      <c r="J314" s="18">
        <v>1</v>
      </c>
      <c r="K314" s="19">
        <v>6500</v>
      </c>
      <c r="L314" s="20">
        <v>0.05</v>
      </c>
      <c r="M314" s="19">
        <f t="shared" si="16"/>
        <v>6175</v>
      </c>
      <c r="N314" s="19">
        <v>6175</v>
      </c>
      <c r="O314" s="4">
        <v>2200</v>
      </c>
      <c r="P314" s="17" t="s">
        <v>23</v>
      </c>
      <c r="Q314" s="17" t="s">
        <v>58</v>
      </c>
      <c r="R314" t="str">
        <f t="shared" si="17"/>
        <v>OK</v>
      </c>
      <c r="S314" s="2">
        <f t="shared" si="18"/>
        <v>1</v>
      </c>
      <c r="T314" s="35">
        <f t="shared" si="19"/>
        <v>3975</v>
      </c>
    </row>
    <row r="315" spans="1:20" x14ac:dyDescent="0.25">
      <c r="A315" s="21">
        <v>100314</v>
      </c>
      <c r="B315" s="22">
        <v>46106</v>
      </c>
      <c r="C315" s="23" t="s">
        <v>42</v>
      </c>
      <c r="D315" s="17" t="s">
        <v>26</v>
      </c>
      <c r="E315" s="23" t="s">
        <v>43</v>
      </c>
      <c r="F315" s="23" t="s">
        <v>27</v>
      </c>
      <c r="G315" s="17" t="s">
        <v>28</v>
      </c>
      <c r="H315" s="23" t="s">
        <v>142</v>
      </c>
      <c r="I315" s="23" t="s">
        <v>30</v>
      </c>
      <c r="J315" s="24">
        <v>1</v>
      </c>
      <c r="K315" s="25">
        <v>165000</v>
      </c>
      <c r="L315" s="26">
        <v>0.1</v>
      </c>
      <c r="M315" s="19">
        <f t="shared" si="16"/>
        <v>148500</v>
      </c>
      <c r="N315" s="25">
        <v>148500</v>
      </c>
      <c r="O315" s="4">
        <v>112000</v>
      </c>
      <c r="P315" s="27" t="s">
        <v>23</v>
      </c>
      <c r="Q315" s="17" t="s">
        <v>40</v>
      </c>
      <c r="R315" t="str">
        <f t="shared" si="17"/>
        <v>OK</v>
      </c>
      <c r="S315" s="2">
        <f t="shared" si="18"/>
        <v>1</v>
      </c>
      <c r="T315" s="35">
        <f t="shared" si="19"/>
        <v>36500</v>
      </c>
    </row>
    <row r="316" spans="1:20" x14ac:dyDescent="0.25">
      <c r="A316" s="14">
        <v>100315</v>
      </c>
      <c r="B316" s="15">
        <v>46118</v>
      </c>
      <c r="C316" s="16" t="s">
        <v>42</v>
      </c>
      <c r="D316" s="17" t="s">
        <v>26</v>
      </c>
      <c r="E316" s="16" t="s">
        <v>18</v>
      </c>
      <c r="F316" s="16" t="s">
        <v>27</v>
      </c>
      <c r="G316" s="17" t="s">
        <v>38</v>
      </c>
      <c r="H316" s="16" t="s">
        <v>192</v>
      </c>
      <c r="I316" s="16" t="s">
        <v>30</v>
      </c>
      <c r="J316" s="18">
        <v>1</v>
      </c>
      <c r="K316" s="19">
        <v>26000</v>
      </c>
      <c r="L316" s="20">
        <v>0</v>
      </c>
      <c r="M316" s="19">
        <f t="shared" si="16"/>
        <v>26000</v>
      </c>
      <c r="N316" s="19">
        <v>26000</v>
      </c>
      <c r="O316" s="4">
        <v>15000</v>
      </c>
      <c r="P316" s="17" t="s">
        <v>23</v>
      </c>
      <c r="Q316" s="17" t="s">
        <v>24</v>
      </c>
      <c r="R316" t="str">
        <f t="shared" si="17"/>
        <v>OK</v>
      </c>
      <c r="S316" s="2">
        <f t="shared" si="18"/>
        <v>1</v>
      </c>
      <c r="T316" s="35">
        <f t="shared" si="19"/>
        <v>11000</v>
      </c>
    </row>
    <row r="317" spans="1:20" x14ac:dyDescent="0.25">
      <c r="A317" s="21">
        <v>100316</v>
      </c>
      <c r="B317" s="22">
        <v>46154</v>
      </c>
      <c r="C317" s="23" t="s">
        <v>35</v>
      </c>
      <c r="D317" s="17" t="s">
        <v>36</v>
      </c>
      <c r="E317" s="23" t="s">
        <v>37</v>
      </c>
      <c r="F317" s="23" t="s">
        <v>27</v>
      </c>
      <c r="G317" s="17" t="s">
        <v>33</v>
      </c>
      <c r="H317" s="23" t="s">
        <v>70</v>
      </c>
      <c r="I317" s="23" t="s">
        <v>22</v>
      </c>
      <c r="J317" s="24">
        <v>5</v>
      </c>
      <c r="K317" s="25">
        <v>32000</v>
      </c>
      <c r="L317" s="26">
        <v>0</v>
      </c>
      <c r="M317" s="19">
        <f t="shared" si="16"/>
        <v>160000</v>
      </c>
      <c r="N317" s="25">
        <v>160000</v>
      </c>
      <c r="O317" s="4">
        <v>19000</v>
      </c>
      <c r="P317" s="27" t="s">
        <v>23</v>
      </c>
      <c r="Q317" s="17" t="s">
        <v>24</v>
      </c>
      <c r="R317" t="str">
        <f t="shared" si="17"/>
        <v>OK</v>
      </c>
      <c r="S317" s="2">
        <f t="shared" si="18"/>
        <v>1</v>
      </c>
      <c r="T317" s="35">
        <f t="shared" si="19"/>
        <v>65000</v>
      </c>
    </row>
    <row r="318" spans="1:20" x14ac:dyDescent="0.25">
      <c r="A318" s="14">
        <v>100317</v>
      </c>
      <c r="B318" s="15">
        <v>46212</v>
      </c>
      <c r="C318" s="16" t="s">
        <v>50</v>
      </c>
      <c r="D318" s="17" t="s">
        <v>51</v>
      </c>
      <c r="E318" s="16" t="s">
        <v>43</v>
      </c>
      <c r="F318" s="16" t="s">
        <v>19</v>
      </c>
      <c r="G318" s="17" t="s">
        <v>62</v>
      </c>
      <c r="H318" s="16" t="s">
        <v>219</v>
      </c>
      <c r="I318" s="16" t="s">
        <v>30</v>
      </c>
      <c r="J318" s="18">
        <v>1</v>
      </c>
      <c r="K318" s="19">
        <v>24000</v>
      </c>
      <c r="L318" s="20">
        <v>0.05</v>
      </c>
      <c r="M318" s="19">
        <f t="shared" si="16"/>
        <v>22800</v>
      </c>
      <c r="N318" s="19">
        <v>22800</v>
      </c>
      <c r="O318" s="4">
        <v>15000</v>
      </c>
      <c r="P318" s="17" t="s">
        <v>23</v>
      </c>
      <c r="Q318" s="17" t="s">
        <v>31</v>
      </c>
      <c r="R318" t="str">
        <f t="shared" si="17"/>
        <v>OK</v>
      </c>
      <c r="S318" s="2">
        <f t="shared" si="18"/>
        <v>1</v>
      </c>
      <c r="T318" s="35">
        <f t="shared" si="19"/>
        <v>7800</v>
      </c>
    </row>
    <row r="319" spans="1:20" x14ac:dyDescent="0.25">
      <c r="A319" s="21">
        <v>100318</v>
      </c>
      <c r="B319" s="22">
        <v>46179</v>
      </c>
      <c r="C319" s="23" t="s">
        <v>35</v>
      </c>
      <c r="D319" s="17" t="s">
        <v>36</v>
      </c>
      <c r="E319" s="23" t="s">
        <v>43</v>
      </c>
      <c r="F319" s="23" t="s">
        <v>19</v>
      </c>
      <c r="G319" s="17" t="s">
        <v>20</v>
      </c>
      <c r="H319" s="23" t="s">
        <v>223</v>
      </c>
      <c r="I319" s="23" t="s">
        <v>30</v>
      </c>
      <c r="J319" s="24">
        <v>2</v>
      </c>
      <c r="K319" s="25">
        <v>58000</v>
      </c>
      <c r="L319" s="26">
        <v>0.05</v>
      </c>
      <c r="M319" s="19">
        <f t="shared" si="16"/>
        <v>110200</v>
      </c>
      <c r="N319" s="25">
        <v>110200</v>
      </c>
      <c r="O319" s="4">
        <v>39000</v>
      </c>
      <c r="P319" s="27" t="s">
        <v>23</v>
      </c>
      <c r="Q319" s="17" t="s">
        <v>40</v>
      </c>
      <c r="R319" t="str">
        <f t="shared" si="17"/>
        <v>OK</v>
      </c>
      <c r="S319" s="2">
        <f t="shared" si="18"/>
        <v>1</v>
      </c>
      <c r="T319" s="35">
        <f t="shared" si="19"/>
        <v>32200</v>
      </c>
    </row>
    <row r="320" spans="1:20" x14ac:dyDescent="0.25">
      <c r="A320" s="14">
        <v>100319</v>
      </c>
      <c r="B320" s="15">
        <v>46040</v>
      </c>
      <c r="C320" s="16" t="s">
        <v>16</v>
      </c>
      <c r="D320" s="17" t="s">
        <v>17</v>
      </c>
      <c r="E320" s="16" t="s">
        <v>43</v>
      </c>
      <c r="F320" s="16" t="s">
        <v>44</v>
      </c>
      <c r="G320" s="17" t="s">
        <v>65</v>
      </c>
      <c r="H320" s="16" t="s">
        <v>125</v>
      </c>
      <c r="I320" s="16" t="s">
        <v>22</v>
      </c>
      <c r="J320" s="18">
        <v>4</v>
      </c>
      <c r="K320" s="19">
        <v>28000</v>
      </c>
      <c r="L320" s="20">
        <v>0.15</v>
      </c>
      <c r="M320" s="19">
        <f t="shared" si="16"/>
        <v>95200</v>
      </c>
      <c r="N320" s="19">
        <v>95200</v>
      </c>
      <c r="O320" s="4">
        <v>16000</v>
      </c>
      <c r="P320" s="17" t="s">
        <v>23</v>
      </c>
      <c r="Q320" s="17" t="s">
        <v>58</v>
      </c>
      <c r="R320" t="str">
        <f t="shared" si="17"/>
        <v>OK</v>
      </c>
      <c r="S320" s="2">
        <f t="shared" si="18"/>
        <v>1</v>
      </c>
      <c r="T320" s="35">
        <f t="shared" si="19"/>
        <v>31200</v>
      </c>
    </row>
    <row r="321" spans="1:20" x14ac:dyDescent="0.25">
      <c r="A321" s="21">
        <v>100320</v>
      </c>
      <c r="B321" s="22">
        <v>46093</v>
      </c>
      <c r="C321" s="23" t="s">
        <v>32</v>
      </c>
      <c r="D321" s="17" t="s">
        <v>17</v>
      </c>
      <c r="E321" s="23" t="s">
        <v>43</v>
      </c>
      <c r="F321" s="23" t="s">
        <v>27</v>
      </c>
      <c r="G321" s="17" t="s">
        <v>33</v>
      </c>
      <c r="H321" s="23" t="s">
        <v>68</v>
      </c>
      <c r="I321" s="23" t="s">
        <v>30</v>
      </c>
      <c r="J321" s="24">
        <v>2</v>
      </c>
      <c r="K321" s="25">
        <v>32000</v>
      </c>
      <c r="L321" s="26">
        <v>0.2</v>
      </c>
      <c r="M321" s="19">
        <f t="shared" si="16"/>
        <v>51200</v>
      </c>
      <c r="N321" s="25">
        <v>51200</v>
      </c>
      <c r="O321" s="4">
        <v>19000</v>
      </c>
      <c r="P321" s="27" t="s">
        <v>23</v>
      </c>
      <c r="Q321" s="17" t="s">
        <v>54</v>
      </c>
      <c r="R321" t="str">
        <f t="shared" si="17"/>
        <v>OK</v>
      </c>
      <c r="S321" s="2">
        <f t="shared" si="18"/>
        <v>1</v>
      </c>
      <c r="T321" s="35">
        <f t="shared" si="19"/>
        <v>13200</v>
      </c>
    </row>
    <row r="322" spans="1:20" x14ac:dyDescent="0.25">
      <c r="A322" s="14">
        <v>100321</v>
      </c>
      <c r="B322" s="15">
        <v>46084</v>
      </c>
      <c r="C322" s="16" t="s">
        <v>25</v>
      </c>
      <c r="D322" s="17" t="s">
        <v>26</v>
      </c>
      <c r="E322" s="16" t="s">
        <v>43</v>
      </c>
      <c r="F322" s="16" t="s">
        <v>27</v>
      </c>
      <c r="G322" s="17" t="s">
        <v>28</v>
      </c>
      <c r="H322" s="16" t="s">
        <v>114</v>
      </c>
      <c r="I322" s="16" t="s">
        <v>30</v>
      </c>
      <c r="J322" s="18">
        <v>2</v>
      </c>
      <c r="K322" s="19">
        <v>165000</v>
      </c>
      <c r="L322" s="20">
        <v>0</v>
      </c>
      <c r="M322" s="19">
        <f t="shared" ref="M322:M385" si="20">J322*K322*(1-L322)</f>
        <v>330000</v>
      </c>
      <c r="N322" s="19">
        <v>330000</v>
      </c>
      <c r="O322" s="4">
        <v>112000</v>
      </c>
      <c r="P322" s="17" t="s">
        <v>23</v>
      </c>
      <c r="Q322" s="17" t="s">
        <v>31</v>
      </c>
      <c r="R322" t="str">
        <f t="shared" ref="R322:R385" si="21">IF(ABS(N322-M322)&gt;1,"REVENUE MISMATCH","OK")</f>
        <v>OK</v>
      </c>
      <c r="S322" s="2">
        <f t="shared" ref="S322:S385" si="22">N322/M322</f>
        <v>1</v>
      </c>
      <c r="T322" s="35">
        <f t="shared" si="19"/>
        <v>106000</v>
      </c>
    </row>
    <row r="323" spans="1:20" x14ac:dyDescent="0.25">
      <c r="A323" s="21">
        <v>100322</v>
      </c>
      <c r="B323" s="22">
        <v>46187</v>
      </c>
      <c r="C323" s="23" t="s">
        <v>42</v>
      </c>
      <c r="D323" s="17" t="s">
        <v>26</v>
      </c>
      <c r="E323" s="23" t="s">
        <v>37</v>
      </c>
      <c r="F323" s="23" t="s">
        <v>19</v>
      </c>
      <c r="G323" s="17" t="s">
        <v>62</v>
      </c>
      <c r="H323" s="23" t="s">
        <v>177</v>
      </c>
      <c r="I323" s="23" t="s">
        <v>22</v>
      </c>
      <c r="J323" s="24">
        <v>1</v>
      </c>
      <c r="K323" s="25">
        <v>24000</v>
      </c>
      <c r="L323" s="26">
        <v>0.1</v>
      </c>
      <c r="M323" s="19">
        <f t="shared" si="20"/>
        <v>21600</v>
      </c>
      <c r="N323" s="25">
        <v>21600</v>
      </c>
      <c r="O323" s="4">
        <v>15000</v>
      </c>
      <c r="P323" s="27" t="s">
        <v>23</v>
      </c>
      <c r="Q323" s="17" t="s">
        <v>40</v>
      </c>
      <c r="R323" t="str">
        <f t="shared" si="21"/>
        <v>OK</v>
      </c>
      <c r="S323" s="2">
        <f t="shared" si="22"/>
        <v>1</v>
      </c>
      <c r="T323" s="35">
        <f t="shared" ref="T323:T386" si="23">M323-(O323*J323)</f>
        <v>6600</v>
      </c>
    </row>
    <row r="324" spans="1:20" x14ac:dyDescent="0.25">
      <c r="A324" s="14">
        <v>100323</v>
      </c>
      <c r="B324" s="15">
        <v>46079</v>
      </c>
      <c r="C324" s="16" t="s">
        <v>50</v>
      </c>
      <c r="D324" s="17" t="s">
        <v>51</v>
      </c>
      <c r="E324" s="16" t="s">
        <v>18</v>
      </c>
      <c r="F324" s="16" t="s">
        <v>27</v>
      </c>
      <c r="G324" s="17" t="s">
        <v>28</v>
      </c>
      <c r="H324" s="16" t="s">
        <v>135</v>
      </c>
      <c r="I324" s="16" t="s">
        <v>30</v>
      </c>
      <c r="J324" s="18">
        <v>2</v>
      </c>
      <c r="K324" s="19">
        <v>165000</v>
      </c>
      <c r="L324" s="20">
        <v>0</v>
      </c>
      <c r="M324" s="19">
        <f t="shared" si="20"/>
        <v>330000</v>
      </c>
      <c r="N324" s="19">
        <v>330000</v>
      </c>
      <c r="O324" s="4">
        <v>112000</v>
      </c>
      <c r="P324" s="17" t="s">
        <v>23</v>
      </c>
      <c r="Q324" s="17" t="s">
        <v>24</v>
      </c>
      <c r="R324" t="str">
        <f t="shared" si="21"/>
        <v>OK</v>
      </c>
      <c r="S324" s="2">
        <f t="shared" si="22"/>
        <v>1</v>
      </c>
      <c r="T324" s="35">
        <f t="shared" si="23"/>
        <v>106000</v>
      </c>
    </row>
    <row r="325" spans="1:20" x14ac:dyDescent="0.25">
      <c r="A325" s="21">
        <v>100324</v>
      </c>
      <c r="B325" s="22">
        <v>46038</v>
      </c>
      <c r="C325" s="23" t="s">
        <v>50</v>
      </c>
      <c r="D325" s="17" t="s">
        <v>51</v>
      </c>
      <c r="E325" s="23" t="s">
        <v>43</v>
      </c>
      <c r="F325" s="23" t="s">
        <v>27</v>
      </c>
      <c r="G325" s="17" t="s">
        <v>28</v>
      </c>
      <c r="H325" s="23" t="s">
        <v>204</v>
      </c>
      <c r="I325" s="23" t="s">
        <v>22</v>
      </c>
      <c r="J325" s="24">
        <v>3</v>
      </c>
      <c r="K325" s="25">
        <v>165000</v>
      </c>
      <c r="L325" s="26">
        <v>0.1</v>
      </c>
      <c r="M325" s="19">
        <f t="shared" si="20"/>
        <v>445500</v>
      </c>
      <c r="N325" s="25">
        <v>445500</v>
      </c>
      <c r="O325" s="4">
        <v>112000</v>
      </c>
      <c r="P325" s="27" t="s">
        <v>23</v>
      </c>
      <c r="Q325" s="17" t="s">
        <v>58</v>
      </c>
      <c r="R325" t="str">
        <f t="shared" si="21"/>
        <v>OK</v>
      </c>
      <c r="S325" s="2">
        <f t="shared" si="22"/>
        <v>1</v>
      </c>
      <c r="T325" s="35">
        <f t="shared" si="23"/>
        <v>109500</v>
      </c>
    </row>
    <row r="326" spans="1:20" x14ac:dyDescent="0.25">
      <c r="A326" s="14">
        <v>100325</v>
      </c>
      <c r="B326" s="15">
        <v>46251</v>
      </c>
      <c r="C326" s="16" t="s">
        <v>35</v>
      </c>
      <c r="D326" s="17" t="s">
        <v>36</v>
      </c>
      <c r="E326" s="16" t="s">
        <v>18</v>
      </c>
      <c r="F326" s="16" t="s">
        <v>19</v>
      </c>
      <c r="G326" s="17" t="s">
        <v>52</v>
      </c>
      <c r="H326" s="16" t="s">
        <v>180</v>
      </c>
      <c r="I326" s="16" t="s">
        <v>30</v>
      </c>
      <c r="J326" s="18">
        <v>3</v>
      </c>
      <c r="K326" s="19">
        <v>42000</v>
      </c>
      <c r="L326" s="20">
        <v>0.05</v>
      </c>
      <c r="M326" s="19">
        <f t="shared" si="20"/>
        <v>119700</v>
      </c>
      <c r="N326" s="19">
        <v>119700</v>
      </c>
      <c r="O326" s="4">
        <v>28000</v>
      </c>
      <c r="P326" s="17" t="s">
        <v>23</v>
      </c>
      <c r="Q326" s="17" t="s">
        <v>24</v>
      </c>
      <c r="R326" t="str">
        <f t="shared" si="21"/>
        <v>OK</v>
      </c>
      <c r="S326" s="2">
        <f t="shared" si="22"/>
        <v>1</v>
      </c>
      <c r="T326" s="35">
        <f t="shared" si="23"/>
        <v>35700</v>
      </c>
    </row>
    <row r="327" spans="1:20" x14ac:dyDescent="0.25">
      <c r="A327" s="21">
        <v>100326</v>
      </c>
      <c r="B327" s="22">
        <v>46165</v>
      </c>
      <c r="C327" s="23" t="s">
        <v>50</v>
      </c>
      <c r="D327" s="17" t="s">
        <v>51</v>
      </c>
      <c r="E327" s="23" t="s">
        <v>37</v>
      </c>
      <c r="F327" s="23" t="s">
        <v>27</v>
      </c>
      <c r="G327" s="17" t="s">
        <v>33</v>
      </c>
      <c r="H327" s="23" t="s">
        <v>197</v>
      </c>
      <c r="I327" s="23" t="s">
        <v>30</v>
      </c>
      <c r="J327" s="24">
        <v>5</v>
      </c>
      <c r="K327" s="25">
        <v>32000</v>
      </c>
      <c r="L327" s="26">
        <v>0.05</v>
      </c>
      <c r="M327" s="19">
        <f t="shared" si="20"/>
        <v>152000</v>
      </c>
      <c r="N327" s="25">
        <v>152000</v>
      </c>
      <c r="O327" s="4">
        <v>19000</v>
      </c>
      <c r="P327" s="27" t="s">
        <v>23</v>
      </c>
      <c r="Q327" s="17" t="s">
        <v>40</v>
      </c>
      <c r="R327" t="str">
        <f t="shared" si="21"/>
        <v>OK</v>
      </c>
      <c r="S327" s="2">
        <f t="shared" si="22"/>
        <v>1</v>
      </c>
      <c r="T327" s="35">
        <f t="shared" si="23"/>
        <v>57000</v>
      </c>
    </row>
    <row r="328" spans="1:20" x14ac:dyDescent="0.25">
      <c r="A328" s="14">
        <v>100327</v>
      </c>
      <c r="B328" s="15">
        <v>46141</v>
      </c>
      <c r="C328" s="16" t="s">
        <v>42</v>
      </c>
      <c r="D328" s="17" t="s">
        <v>26</v>
      </c>
      <c r="E328" s="16" t="s">
        <v>43</v>
      </c>
      <c r="F328" s="16" t="s">
        <v>27</v>
      </c>
      <c r="G328" s="17" t="s">
        <v>38</v>
      </c>
      <c r="H328" s="16" t="s">
        <v>68</v>
      </c>
      <c r="I328" s="16" t="s">
        <v>22</v>
      </c>
      <c r="J328" s="18">
        <v>1</v>
      </c>
      <c r="K328" s="19">
        <v>26000</v>
      </c>
      <c r="L328" s="20">
        <v>0.1</v>
      </c>
      <c r="M328" s="19">
        <f t="shared" si="20"/>
        <v>23400</v>
      </c>
      <c r="N328" s="19">
        <v>23400</v>
      </c>
      <c r="O328" s="4">
        <v>15000</v>
      </c>
      <c r="P328" s="17" t="s">
        <v>23</v>
      </c>
      <c r="Q328" s="17" t="s">
        <v>31</v>
      </c>
      <c r="R328" t="str">
        <f t="shared" si="21"/>
        <v>OK</v>
      </c>
      <c r="S328" s="2">
        <f t="shared" si="22"/>
        <v>1</v>
      </c>
      <c r="T328" s="35">
        <f t="shared" si="23"/>
        <v>8400</v>
      </c>
    </row>
    <row r="329" spans="1:20" x14ac:dyDescent="0.25">
      <c r="A329" s="21">
        <v>100328</v>
      </c>
      <c r="B329" s="22">
        <v>46144</v>
      </c>
      <c r="C329" s="23" t="s">
        <v>35</v>
      </c>
      <c r="D329" s="17" t="s">
        <v>36</v>
      </c>
      <c r="E329" s="23" t="s">
        <v>18</v>
      </c>
      <c r="F329" s="23" t="s">
        <v>19</v>
      </c>
      <c r="G329" s="17" t="s">
        <v>52</v>
      </c>
      <c r="H329" s="23" t="s">
        <v>224</v>
      </c>
      <c r="I329" s="23" t="s">
        <v>30</v>
      </c>
      <c r="J329" s="24">
        <v>1</v>
      </c>
      <c r="K329" s="25">
        <v>42000</v>
      </c>
      <c r="L329" s="26">
        <v>0.05</v>
      </c>
      <c r="M329" s="19">
        <f t="shared" si="20"/>
        <v>39900</v>
      </c>
      <c r="N329" s="25">
        <v>39900</v>
      </c>
      <c r="O329" s="4">
        <v>28000</v>
      </c>
      <c r="P329" s="27" t="s">
        <v>23</v>
      </c>
      <c r="Q329" s="17" t="s">
        <v>40</v>
      </c>
      <c r="R329" t="str">
        <f t="shared" si="21"/>
        <v>OK</v>
      </c>
      <c r="S329" s="2">
        <f t="shared" si="22"/>
        <v>1</v>
      </c>
      <c r="T329" s="35">
        <f t="shared" si="23"/>
        <v>11900</v>
      </c>
    </row>
    <row r="330" spans="1:20" x14ac:dyDescent="0.25">
      <c r="A330" s="14">
        <v>100329</v>
      </c>
      <c r="B330" s="15">
        <v>46023</v>
      </c>
      <c r="C330" s="16" t="s">
        <v>50</v>
      </c>
      <c r="D330" s="17" t="s">
        <v>51</v>
      </c>
      <c r="E330" s="16" t="s">
        <v>18</v>
      </c>
      <c r="F330" s="16" t="s">
        <v>27</v>
      </c>
      <c r="G330" s="17" t="s">
        <v>33</v>
      </c>
      <c r="H330" s="16" t="s">
        <v>128</v>
      </c>
      <c r="I330" s="16" t="s">
        <v>30</v>
      </c>
      <c r="J330" s="18">
        <v>2</v>
      </c>
      <c r="K330" s="19">
        <v>32000</v>
      </c>
      <c r="L330" s="20">
        <v>0</v>
      </c>
      <c r="M330" s="19">
        <f t="shared" si="20"/>
        <v>64000</v>
      </c>
      <c r="N330" s="19">
        <v>64000</v>
      </c>
      <c r="O330" s="4">
        <v>19000</v>
      </c>
      <c r="P330" s="17" t="s">
        <v>76</v>
      </c>
      <c r="Q330" s="17" t="s">
        <v>54</v>
      </c>
      <c r="R330" t="str">
        <f t="shared" si="21"/>
        <v>OK</v>
      </c>
      <c r="S330" s="2">
        <f t="shared" si="22"/>
        <v>1</v>
      </c>
      <c r="T330" s="35">
        <f t="shared" si="23"/>
        <v>26000</v>
      </c>
    </row>
    <row r="331" spans="1:20" x14ac:dyDescent="0.25">
      <c r="A331" s="21">
        <v>100330</v>
      </c>
      <c r="B331" s="22">
        <v>46153</v>
      </c>
      <c r="C331" s="23" t="s">
        <v>42</v>
      </c>
      <c r="D331" s="17" t="s">
        <v>26</v>
      </c>
      <c r="E331" s="23" t="s">
        <v>43</v>
      </c>
      <c r="F331" s="23" t="s">
        <v>19</v>
      </c>
      <c r="G331" s="17" t="s">
        <v>20</v>
      </c>
      <c r="H331" s="23" t="s">
        <v>75</v>
      </c>
      <c r="I331" s="23" t="s">
        <v>22</v>
      </c>
      <c r="J331" s="24">
        <v>2</v>
      </c>
      <c r="K331" s="25">
        <v>58000</v>
      </c>
      <c r="L331" s="26">
        <v>0.1</v>
      </c>
      <c r="M331" s="19">
        <f t="shared" si="20"/>
        <v>104400</v>
      </c>
      <c r="N331" s="25">
        <v>104400</v>
      </c>
      <c r="O331" s="4">
        <v>39000</v>
      </c>
      <c r="P331" s="27" t="s">
        <v>23</v>
      </c>
      <c r="Q331" s="17" t="s">
        <v>58</v>
      </c>
      <c r="R331" t="str">
        <f t="shared" si="21"/>
        <v>OK</v>
      </c>
      <c r="S331" s="2">
        <f t="shared" si="22"/>
        <v>1</v>
      </c>
      <c r="T331" s="35">
        <f t="shared" si="23"/>
        <v>26400</v>
      </c>
    </row>
    <row r="332" spans="1:20" x14ac:dyDescent="0.25">
      <c r="A332" s="14">
        <v>100331</v>
      </c>
      <c r="B332" s="15">
        <v>46070</v>
      </c>
      <c r="C332" s="16" t="s">
        <v>35</v>
      </c>
      <c r="D332" s="17" t="s">
        <v>36</v>
      </c>
      <c r="E332" s="16" t="s">
        <v>37</v>
      </c>
      <c r="F332" s="16" t="s">
        <v>44</v>
      </c>
      <c r="G332" s="17" t="s">
        <v>60</v>
      </c>
      <c r="H332" s="16" t="s">
        <v>93</v>
      </c>
      <c r="I332" s="16" t="s">
        <v>30</v>
      </c>
      <c r="J332" s="18">
        <v>1</v>
      </c>
      <c r="K332" s="19">
        <v>9000</v>
      </c>
      <c r="L332" s="20">
        <v>0.05</v>
      </c>
      <c r="M332" s="19">
        <f t="shared" si="20"/>
        <v>8550</v>
      </c>
      <c r="N332" s="19">
        <v>8550</v>
      </c>
      <c r="O332" s="4">
        <v>3500</v>
      </c>
      <c r="P332" s="17" t="s">
        <v>23</v>
      </c>
      <c r="Q332" s="17" t="s">
        <v>24</v>
      </c>
      <c r="R332" t="str">
        <f t="shared" si="21"/>
        <v>OK</v>
      </c>
      <c r="S332" s="2">
        <f t="shared" si="22"/>
        <v>1</v>
      </c>
      <c r="T332" s="35">
        <f t="shared" si="23"/>
        <v>5050</v>
      </c>
    </row>
    <row r="333" spans="1:20" x14ac:dyDescent="0.25">
      <c r="A333" s="21">
        <v>100332</v>
      </c>
      <c r="B333" s="22">
        <v>46100</v>
      </c>
      <c r="C333" s="23" t="s">
        <v>32</v>
      </c>
      <c r="D333" s="17" t="s">
        <v>17</v>
      </c>
      <c r="E333" s="23" t="s">
        <v>43</v>
      </c>
      <c r="F333" s="23" t="s">
        <v>27</v>
      </c>
      <c r="G333" s="17" t="s">
        <v>33</v>
      </c>
      <c r="H333" s="23" t="s">
        <v>118</v>
      </c>
      <c r="I333" s="23" t="s">
        <v>22</v>
      </c>
      <c r="J333" s="24">
        <v>1</v>
      </c>
      <c r="K333" s="25">
        <v>32000</v>
      </c>
      <c r="L333" s="26">
        <v>0.05</v>
      </c>
      <c r="M333" s="19">
        <f t="shared" si="20"/>
        <v>30400</v>
      </c>
      <c r="N333" s="25">
        <v>30400</v>
      </c>
      <c r="O333" s="4">
        <v>19000</v>
      </c>
      <c r="P333" s="27" t="s">
        <v>23</v>
      </c>
      <c r="Q333" s="17" t="s">
        <v>58</v>
      </c>
      <c r="R333" t="str">
        <f t="shared" si="21"/>
        <v>OK</v>
      </c>
      <c r="S333" s="2">
        <f t="shared" si="22"/>
        <v>1</v>
      </c>
      <c r="T333" s="35">
        <f t="shared" si="23"/>
        <v>11400</v>
      </c>
    </row>
    <row r="334" spans="1:20" x14ac:dyDescent="0.25">
      <c r="A334" s="14">
        <v>100333</v>
      </c>
      <c r="B334" s="15">
        <v>46027</v>
      </c>
      <c r="C334" s="16" t="s">
        <v>32</v>
      </c>
      <c r="D334" s="17" t="s">
        <v>17</v>
      </c>
      <c r="E334" s="16" t="s">
        <v>37</v>
      </c>
      <c r="F334" s="16" t="s">
        <v>27</v>
      </c>
      <c r="G334" s="17" t="s">
        <v>33</v>
      </c>
      <c r="H334" s="16" t="s">
        <v>94</v>
      </c>
      <c r="I334" s="16" t="s">
        <v>22</v>
      </c>
      <c r="J334" s="18">
        <v>5</v>
      </c>
      <c r="K334" s="19">
        <v>32000</v>
      </c>
      <c r="L334" s="20">
        <v>0.1</v>
      </c>
      <c r="M334" s="19">
        <f t="shared" si="20"/>
        <v>144000</v>
      </c>
      <c r="N334" s="19">
        <v>144000</v>
      </c>
      <c r="O334" s="4">
        <v>19000</v>
      </c>
      <c r="P334" s="17" t="s">
        <v>23</v>
      </c>
      <c r="Q334" s="17" t="s">
        <v>40</v>
      </c>
      <c r="R334" t="str">
        <f t="shared" si="21"/>
        <v>OK</v>
      </c>
      <c r="S334" s="2">
        <f t="shared" si="22"/>
        <v>1</v>
      </c>
      <c r="T334" s="35">
        <f t="shared" si="23"/>
        <v>49000</v>
      </c>
    </row>
    <row r="335" spans="1:20" x14ac:dyDescent="0.25">
      <c r="A335" s="21">
        <v>100334</v>
      </c>
      <c r="B335" s="22">
        <v>46219</v>
      </c>
      <c r="C335" s="23" t="s">
        <v>25</v>
      </c>
      <c r="D335" s="17" t="s">
        <v>26</v>
      </c>
      <c r="E335" s="23" t="s">
        <v>43</v>
      </c>
      <c r="F335" s="23" t="s">
        <v>44</v>
      </c>
      <c r="G335" s="17" t="s">
        <v>60</v>
      </c>
      <c r="H335" s="23" t="s">
        <v>224</v>
      </c>
      <c r="I335" s="23" t="s">
        <v>30</v>
      </c>
      <c r="J335" s="24">
        <v>1</v>
      </c>
      <c r="K335" s="25">
        <v>9000</v>
      </c>
      <c r="L335" s="26">
        <v>0</v>
      </c>
      <c r="M335" s="19">
        <f t="shared" si="20"/>
        <v>9000</v>
      </c>
      <c r="N335" s="25">
        <v>9000</v>
      </c>
      <c r="O335" s="4">
        <v>3500</v>
      </c>
      <c r="P335" s="27" t="s">
        <v>23</v>
      </c>
      <c r="Q335" s="17" t="s">
        <v>40</v>
      </c>
      <c r="R335" t="str">
        <f t="shared" si="21"/>
        <v>OK</v>
      </c>
      <c r="S335" s="2">
        <f t="shared" si="22"/>
        <v>1</v>
      </c>
      <c r="T335" s="35">
        <f t="shared" si="23"/>
        <v>5500</v>
      </c>
    </row>
    <row r="336" spans="1:20" x14ac:dyDescent="0.25">
      <c r="A336" s="14">
        <v>100335</v>
      </c>
      <c r="B336" s="15">
        <v>46026</v>
      </c>
      <c r="C336" s="16" t="s">
        <v>50</v>
      </c>
      <c r="D336" s="17" t="s">
        <v>51</v>
      </c>
      <c r="E336" s="16" t="s">
        <v>37</v>
      </c>
      <c r="F336" s="16" t="s">
        <v>27</v>
      </c>
      <c r="G336" s="17" t="s">
        <v>33</v>
      </c>
      <c r="H336" s="16" t="s">
        <v>168</v>
      </c>
      <c r="I336" s="16" t="s">
        <v>22</v>
      </c>
      <c r="J336" s="18">
        <v>1</v>
      </c>
      <c r="K336" s="19">
        <v>32000</v>
      </c>
      <c r="L336" s="20">
        <v>0.1</v>
      </c>
      <c r="M336" s="19">
        <f t="shared" si="20"/>
        <v>28800</v>
      </c>
      <c r="N336" s="19">
        <v>28800</v>
      </c>
      <c r="O336" s="4">
        <v>19000</v>
      </c>
      <c r="P336" s="17" t="s">
        <v>23</v>
      </c>
      <c r="Q336" s="17" t="s">
        <v>84</v>
      </c>
      <c r="R336" t="str">
        <f t="shared" si="21"/>
        <v>OK</v>
      </c>
      <c r="S336" s="2">
        <f t="shared" si="22"/>
        <v>1</v>
      </c>
      <c r="T336" s="35">
        <f t="shared" si="23"/>
        <v>9800</v>
      </c>
    </row>
    <row r="337" spans="1:20" x14ac:dyDescent="0.25">
      <c r="A337" s="21">
        <v>100336</v>
      </c>
      <c r="B337" s="22">
        <v>46085</v>
      </c>
      <c r="C337" s="23" t="s">
        <v>50</v>
      </c>
      <c r="D337" s="17" t="s">
        <v>51</v>
      </c>
      <c r="E337" s="23" t="s">
        <v>18</v>
      </c>
      <c r="F337" s="23" t="s">
        <v>27</v>
      </c>
      <c r="G337" s="17" t="s">
        <v>28</v>
      </c>
      <c r="H337" s="23" t="s">
        <v>225</v>
      </c>
      <c r="I337" s="23" t="s">
        <v>30</v>
      </c>
      <c r="J337" s="24">
        <v>2</v>
      </c>
      <c r="K337" s="25">
        <v>165000</v>
      </c>
      <c r="L337" s="26">
        <v>0.15</v>
      </c>
      <c r="M337" s="19">
        <f t="shared" si="20"/>
        <v>280500</v>
      </c>
      <c r="N337" s="25">
        <v>280500</v>
      </c>
      <c r="O337" s="4">
        <v>112000</v>
      </c>
      <c r="P337" s="27" t="s">
        <v>23</v>
      </c>
      <c r="Q337" s="17" t="s">
        <v>54</v>
      </c>
      <c r="R337" t="str">
        <f t="shared" si="21"/>
        <v>OK</v>
      </c>
      <c r="S337" s="2">
        <f t="shared" si="22"/>
        <v>1</v>
      </c>
      <c r="T337" s="35">
        <f t="shared" si="23"/>
        <v>56500</v>
      </c>
    </row>
    <row r="338" spans="1:20" x14ac:dyDescent="0.25">
      <c r="A338" s="14">
        <v>100337</v>
      </c>
      <c r="B338" s="15">
        <v>46085</v>
      </c>
      <c r="C338" s="16" t="s">
        <v>35</v>
      </c>
      <c r="D338" s="17" t="s">
        <v>36</v>
      </c>
      <c r="E338" s="16" t="s">
        <v>43</v>
      </c>
      <c r="F338" s="16" t="s">
        <v>44</v>
      </c>
      <c r="G338" s="17" t="s">
        <v>241</v>
      </c>
      <c r="H338" s="16" t="s">
        <v>121</v>
      </c>
      <c r="I338" s="16" t="s">
        <v>22</v>
      </c>
      <c r="J338" s="18">
        <v>3</v>
      </c>
      <c r="K338" s="19">
        <v>6500</v>
      </c>
      <c r="L338" s="20">
        <v>0.15</v>
      </c>
      <c r="M338" s="19">
        <f t="shared" si="20"/>
        <v>16575</v>
      </c>
      <c r="N338" s="19">
        <v>16575</v>
      </c>
      <c r="O338" s="4">
        <v>2200</v>
      </c>
      <c r="P338" s="17" t="s">
        <v>23</v>
      </c>
      <c r="Q338" s="17" t="s">
        <v>24</v>
      </c>
      <c r="R338" t="str">
        <f t="shared" si="21"/>
        <v>OK</v>
      </c>
      <c r="S338" s="2">
        <f t="shared" si="22"/>
        <v>1</v>
      </c>
      <c r="T338" s="35">
        <f t="shared" si="23"/>
        <v>9975</v>
      </c>
    </row>
    <row r="339" spans="1:20" x14ac:dyDescent="0.25">
      <c r="A339" s="21">
        <v>100338</v>
      </c>
      <c r="B339" s="22">
        <v>46112</v>
      </c>
      <c r="C339" s="23" t="s">
        <v>25</v>
      </c>
      <c r="D339" s="17" t="s">
        <v>26</v>
      </c>
      <c r="E339" s="23" t="s">
        <v>43</v>
      </c>
      <c r="F339" s="23" t="s">
        <v>19</v>
      </c>
      <c r="G339" s="17" t="s">
        <v>62</v>
      </c>
      <c r="H339" s="23" t="s">
        <v>108</v>
      </c>
      <c r="I339" s="23" t="s">
        <v>22</v>
      </c>
      <c r="J339" s="24">
        <v>2</v>
      </c>
      <c r="K339" s="25">
        <v>24000</v>
      </c>
      <c r="L339" s="26">
        <v>0.15</v>
      </c>
      <c r="M339" s="19">
        <f t="shared" si="20"/>
        <v>40800</v>
      </c>
      <c r="N339" s="25">
        <v>40800</v>
      </c>
      <c r="O339" s="4">
        <v>15000</v>
      </c>
      <c r="P339" s="27" t="s">
        <v>23</v>
      </c>
      <c r="Q339" s="17" t="s">
        <v>84</v>
      </c>
      <c r="R339" t="str">
        <f t="shared" si="21"/>
        <v>OK</v>
      </c>
      <c r="S339" s="2">
        <f t="shared" si="22"/>
        <v>1</v>
      </c>
      <c r="T339" s="35">
        <f t="shared" si="23"/>
        <v>10800</v>
      </c>
    </row>
    <row r="340" spans="1:20" x14ac:dyDescent="0.25">
      <c r="A340" s="14">
        <v>100339</v>
      </c>
      <c r="B340" s="15">
        <v>46057</v>
      </c>
      <c r="C340" s="16" t="s">
        <v>25</v>
      </c>
      <c r="D340" s="17" t="s">
        <v>26</v>
      </c>
      <c r="E340" s="16" t="s">
        <v>43</v>
      </c>
      <c r="F340" s="16" t="s">
        <v>27</v>
      </c>
      <c r="G340" s="17" t="s">
        <v>38</v>
      </c>
      <c r="H340" s="16" t="s">
        <v>199</v>
      </c>
      <c r="I340" s="16" t="s">
        <v>22</v>
      </c>
      <c r="J340" s="18">
        <v>2</v>
      </c>
      <c r="K340" s="19">
        <v>26000</v>
      </c>
      <c r="L340" s="20">
        <v>0.05</v>
      </c>
      <c r="M340" s="19">
        <f t="shared" si="20"/>
        <v>49400</v>
      </c>
      <c r="N340" s="19">
        <v>49400</v>
      </c>
      <c r="O340" s="4">
        <v>15000</v>
      </c>
      <c r="P340" s="17" t="s">
        <v>23</v>
      </c>
      <c r="Q340" s="17" t="s">
        <v>40</v>
      </c>
      <c r="R340" t="str">
        <f t="shared" si="21"/>
        <v>OK</v>
      </c>
      <c r="S340" s="2">
        <f t="shared" si="22"/>
        <v>1</v>
      </c>
      <c r="T340" s="35">
        <f t="shared" si="23"/>
        <v>19400</v>
      </c>
    </row>
    <row r="341" spans="1:20" x14ac:dyDescent="0.25">
      <c r="A341" s="21">
        <v>100340</v>
      </c>
      <c r="B341" s="22">
        <v>46106</v>
      </c>
      <c r="C341" s="23" t="s">
        <v>32</v>
      </c>
      <c r="D341" s="17" t="s">
        <v>17</v>
      </c>
      <c r="E341" s="23" t="s">
        <v>37</v>
      </c>
      <c r="F341" s="23" t="s">
        <v>27</v>
      </c>
      <c r="G341" s="17" t="s">
        <v>28</v>
      </c>
      <c r="H341" s="23" t="s">
        <v>61</v>
      </c>
      <c r="I341" s="23" t="s">
        <v>30</v>
      </c>
      <c r="J341" s="24">
        <v>1</v>
      </c>
      <c r="K341" s="25">
        <v>165000</v>
      </c>
      <c r="L341" s="26">
        <v>0.15</v>
      </c>
      <c r="M341" s="19">
        <f t="shared" si="20"/>
        <v>140250</v>
      </c>
      <c r="N341" s="25">
        <v>140250</v>
      </c>
      <c r="O341" s="4">
        <v>112000</v>
      </c>
      <c r="P341" s="27" t="s">
        <v>23</v>
      </c>
      <c r="Q341" s="17" t="s">
        <v>64</v>
      </c>
      <c r="R341" t="str">
        <f t="shared" si="21"/>
        <v>OK</v>
      </c>
      <c r="S341" s="2">
        <f t="shared" si="22"/>
        <v>1</v>
      </c>
      <c r="T341" s="35">
        <f t="shared" si="23"/>
        <v>28250</v>
      </c>
    </row>
    <row r="342" spans="1:20" x14ac:dyDescent="0.25">
      <c r="A342" s="14">
        <v>100341</v>
      </c>
      <c r="B342" s="15">
        <v>46181</v>
      </c>
      <c r="C342" s="16" t="s">
        <v>25</v>
      </c>
      <c r="D342" s="17" t="s">
        <v>26</v>
      </c>
      <c r="E342" s="16" t="s">
        <v>43</v>
      </c>
      <c r="F342" s="16" t="s">
        <v>27</v>
      </c>
      <c r="G342" s="17" t="s">
        <v>28</v>
      </c>
      <c r="H342" s="16" t="s">
        <v>226</v>
      </c>
      <c r="I342" s="16" t="s">
        <v>30</v>
      </c>
      <c r="J342" s="18">
        <v>3</v>
      </c>
      <c r="K342" s="19">
        <v>165000</v>
      </c>
      <c r="L342" s="20">
        <v>0</v>
      </c>
      <c r="M342" s="19">
        <f t="shared" si="20"/>
        <v>495000</v>
      </c>
      <c r="N342" s="19">
        <v>495000</v>
      </c>
      <c r="O342" s="4">
        <v>112000</v>
      </c>
      <c r="P342" s="17" t="s">
        <v>23</v>
      </c>
      <c r="Q342" s="17" t="s">
        <v>24</v>
      </c>
      <c r="R342" t="str">
        <f t="shared" si="21"/>
        <v>OK</v>
      </c>
      <c r="S342" s="2">
        <f t="shared" si="22"/>
        <v>1</v>
      </c>
      <c r="T342" s="35">
        <f t="shared" si="23"/>
        <v>159000</v>
      </c>
    </row>
    <row r="343" spans="1:20" x14ac:dyDescent="0.25">
      <c r="A343" s="21">
        <v>100342</v>
      </c>
      <c r="B343" s="22">
        <v>46053</v>
      </c>
      <c r="C343" s="23" t="s">
        <v>32</v>
      </c>
      <c r="D343" s="17" t="s">
        <v>17</v>
      </c>
      <c r="E343" s="23" t="s">
        <v>43</v>
      </c>
      <c r="F343" s="23" t="s">
        <v>27</v>
      </c>
      <c r="G343" s="17" t="s">
        <v>33</v>
      </c>
      <c r="H343" s="23" t="s">
        <v>205</v>
      </c>
      <c r="I343" s="23" t="s">
        <v>30</v>
      </c>
      <c r="J343" s="24">
        <v>4</v>
      </c>
      <c r="K343" s="25">
        <v>32000</v>
      </c>
      <c r="L343" s="26">
        <v>0</v>
      </c>
      <c r="M343" s="19">
        <f t="shared" si="20"/>
        <v>128000</v>
      </c>
      <c r="N343" s="25">
        <v>128000</v>
      </c>
      <c r="O343" s="4">
        <v>19000</v>
      </c>
      <c r="P343" s="27" t="s">
        <v>23</v>
      </c>
      <c r="Q343" s="17" t="s">
        <v>64</v>
      </c>
      <c r="R343" t="str">
        <f t="shared" si="21"/>
        <v>OK</v>
      </c>
      <c r="S343" s="2">
        <f t="shared" si="22"/>
        <v>1</v>
      </c>
      <c r="T343" s="35">
        <f t="shared" si="23"/>
        <v>52000</v>
      </c>
    </row>
    <row r="344" spans="1:20" x14ac:dyDescent="0.25">
      <c r="A344" s="14">
        <v>100343</v>
      </c>
      <c r="B344" s="15">
        <v>46217</v>
      </c>
      <c r="C344" s="16" t="s">
        <v>35</v>
      </c>
      <c r="D344" s="17" t="s">
        <v>36</v>
      </c>
      <c r="E344" s="16" t="s">
        <v>43</v>
      </c>
      <c r="F344" s="16" t="s">
        <v>27</v>
      </c>
      <c r="G344" s="17" t="s">
        <v>28</v>
      </c>
      <c r="H344" s="16" t="s">
        <v>182</v>
      </c>
      <c r="I344" s="16" t="s">
        <v>30</v>
      </c>
      <c r="J344" s="18">
        <v>4</v>
      </c>
      <c r="K344" s="19">
        <v>165000</v>
      </c>
      <c r="L344" s="20">
        <v>0</v>
      </c>
      <c r="M344" s="19">
        <f t="shared" si="20"/>
        <v>660000</v>
      </c>
      <c r="N344" s="19">
        <v>660000</v>
      </c>
      <c r="O344" s="4">
        <v>112000</v>
      </c>
      <c r="P344" s="17" t="s">
        <v>76</v>
      </c>
      <c r="Q344" s="17" t="s">
        <v>54</v>
      </c>
      <c r="R344" t="str">
        <f t="shared" si="21"/>
        <v>OK</v>
      </c>
      <c r="S344" s="2">
        <f t="shared" si="22"/>
        <v>1</v>
      </c>
      <c r="T344" s="35">
        <f t="shared" si="23"/>
        <v>212000</v>
      </c>
    </row>
    <row r="345" spans="1:20" x14ac:dyDescent="0.25">
      <c r="A345" s="21">
        <v>100344</v>
      </c>
      <c r="B345" s="22">
        <v>46253</v>
      </c>
      <c r="C345" s="23" t="s">
        <v>50</v>
      </c>
      <c r="D345" s="17" t="s">
        <v>51</v>
      </c>
      <c r="E345" s="23" t="s">
        <v>37</v>
      </c>
      <c r="F345" s="23" t="s">
        <v>19</v>
      </c>
      <c r="G345" s="17" t="s">
        <v>62</v>
      </c>
      <c r="H345" s="23" t="s">
        <v>126</v>
      </c>
      <c r="I345" s="23" t="s">
        <v>22</v>
      </c>
      <c r="J345" s="24">
        <v>2</v>
      </c>
      <c r="K345" s="25">
        <v>24000</v>
      </c>
      <c r="L345" s="26">
        <v>0.1</v>
      </c>
      <c r="M345" s="19">
        <f t="shared" si="20"/>
        <v>43200</v>
      </c>
      <c r="N345" s="25">
        <v>43200</v>
      </c>
      <c r="O345" s="4">
        <v>15000</v>
      </c>
      <c r="P345" s="27" t="s">
        <v>23</v>
      </c>
      <c r="Q345" s="17" t="s">
        <v>47</v>
      </c>
      <c r="R345" t="str">
        <f t="shared" si="21"/>
        <v>OK</v>
      </c>
      <c r="S345" s="2">
        <f t="shared" si="22"/>
        <v>1</v>
      </c>
      <c r="T345" s="35">
        <f t="shared" si="23"/>
        <v>13200</v>
      </c>
    </row>
    <row r="346" spans="1:20" x14ac:dyDescent="0.25">
      <c r="A346" s="14">
        <v>100345</v>
      </c>
      <c r="B346" s="15">
        <v>46038</v>
      </c>
      <c r="C346" s="16" t="s">
        <v>25</v>
      </c>
      <c r="D346" s="17" t="s">
        <v>26</v>
      </c>
      <c r="E346" s="16" t="s">
        <v>43</v>
      </c>
      <c r="F346" s="16" t="s">
        <v>19</v>
      </c>
      <c r="G346" s="17" t="s">
        <v>20</v>
      </c>
      <c r="H346" s="16" t="s">
        <v>69</v>
      </c>
      <c r="I346" s="16" t="s">
        <v>30</v>
      </c>
      <c r="J346" s="18">
        <v>2</v>
      </c>
      <c r="K346" s="19">
        <v>58000</v>
      </c>
      <c r="L346" s="20">
        <v>0.15</v>
      </c>
      <c r="M346" s="19">
        <f t="shared" si="20"/>
        <v>98600</v>
      </c>
      <c r="N346" s="19">
        <v>98600</v>
      </c>
      <c r="O346" s="4">
        <v>39000</v>
      </c>
      <c r="P346" s="17" t="s">
        <v>23</v>
      </c>
      <c r="Q346" s="17" t="s">
        <v>24</v>
      </c>
      <c r="R346" t="str">
        <f t="shared" si="21"/>
        <v>OK</v>
      </c>
      <c r="S346" s="2">
        <f t="shared" si="22"/>
        <v>1</v>
      </c>
      <c r="T346" s="35">
        <f t="shared" si="23"/>
        <v>20600</v>
      </c>
    </row>
    <row r="347" spans="1:20" x14ac:dyDescent="0.25">
      <c r="A347" s="21">
        <v>100346</v>
      </c>
      <c r="B347" s="22">
        <v>46065</v>
      </c>
      <c r="C347" s="23" t="s">
        <v>32</v>
      </c>
      <c r="D347" s="17" t="s">
        <v>17</v>
      </c>
      <c r="E347" s="23" t="s">
        <v>43</v>
      </c>
      <c r="F347" s="23" t="s">
        <v>44</v>
      </c>
      <c r="G347" s="17" t="s">
        <v>60</v>
      </c>
      <c r="H347" s="23" t="s">
        <v>203</v>
      </c>
      <c r="I347" s="23" t="s">
        <v>30</v>
      </c>
      <c r="J347" s="24">
        <v>2</v>
      </c>
      <c r="K347" s="25">
        <v>9000</v>
      </c>
      <c r="L347" s="26">
        <v>0.15</v>
      </c>
      <c r="M347" s="19">
        <f t="shared" si="20"/>
        <v>15300</v>
      </c>
      <c r="N347" s="25">
        <v>15300</v>
      </c>
      <c r="O347" s="4">
        <v>3500</v>
      </c>
      <c r="P347" s="27" t="s">
        <v>23</v>
      </c>
      <c r="Q347" s="17" t="s">
        <v>64</v>
      </c>
      <c r="R347" t="str">
        <f t="shared" si="21"/>
        <v>OK</v>
      </c>
      <c r="S347" s="2">
        <f t="shared" si="22"/>
        <v>1</v>
      </c>
      <c r="T347" s="35">
        <f t="shared" si="23"/>
        <v>8300</v>
      </c>
    </row>
    <row r="348" spans="1:20" x14ac:dyDescent="0.25">
      <c r="A348" s="14">
        <v>100347</v>
      </c>
      <c r="B348" s="15">
        <v>46074</v>
      </c>
      <c r="C348" s="16" t="s">
        <v>35</v>
      </c>
      <c r="D348" s="17" t="s">
        <v>36</v>
      </c>
      <c r="E348" s="16" t="s">
        <v>43</v>
      </c>
      <c r="F348" s="16" t="s">
        <v>27</v>
      </c>
      <c r="G348" s="17" t="s">
        <v>33</v>
      </c>
      <c r="H348" s="16" t="s">
        <v>227</v>
      </c>
      <c r="I348" s="16" t="s">
        <v>30</v>
      </c>
      <c r="J348" s="18">
        <v>3</v>
      </c>
      <c r="K348" s="19">
        <v>32000</v>
      </c>
      <c r="L348" s="20">
        <v>0</v>
      </c>
      <c r="M348" s="19">
        <f t="shared" si="20"/>
        <v>96000</v>
      </c>
      <c r="N348" s="19">
        <v>96000</v>
      </c>
      <c r="O348" s="4">
        <v>19000</v>
      </c>
      <c r="P348" s="17" t="s">
        <v>23</v>
      </c>
      <c r="Q348" s="17" t="s">
        <v>24</v>
      </c>
      <c r="R348" t="str">
        <f t="shared" si="21"/>
        <v>OK</v>
      </c>
      <c r="S348" s="2">
        <f t="shared" si="22"/>
        <v>1</v>
      </c>
      <c r="T348" s="35">
        <f t="shared" si="23"/>
        <v>39000</v>
      </c>
    </row>
    <row r="349" spans="1:20" x14ac:dyDescent="0.25">
      <c r="A349" s="21">
        <v>100348</v>
      </c>
      <c r="B349" s="22">
        <v>46225</v>
      </c>
      <c r="C349" s="23" t="s">
        <v>35</v>
      </c>
      <c r="D349" s="17" t="s">
        <v>36</v>
      </c>
      <c r="E349" s="23" t="s">
        <v>43</v>
      </c>
      <c r="F349" s="23" t="s">
        <v>19</v>
      </c>
      <c r="G349" s="17" t="s">
        <v>62</v>
      </c>
      <c r="H349" s="23" t="s">
        <v>171</v>
      </c>
      <c r="I349" s="23" t="s">
        <v>30</v>
      </c>
      <c r="J349" s="24">
        <v>5</v>
      </c>
      <c r="K349" s="25">
        <v>24000</v>
      </c>
      <c r="L349" s="26">
        <v>0.05</v>
      </c>
      <c r="M349" s="19">
        <f t="shared" si="20"/>
        <v>114000</v>
      </c>
      <c r="N349" s="25">
        <v>114000</v>
      </c>
      <c r="O349" s="4">
        <v>15000</v>
      </c>
      <c r="P349" s="27" t="s">
        <v>23</v>
      </c>
      <c r="Q349" s="17" t="s">
        <v>24</v>
      </c>
      <c r="R349" t="str">
        <f t="shared" si="21"/>
        <v>OK</v>
      </c>
      <c r="S349" s="2">
        <f t="shared" si="22"/>
        <v>1</v>
      </c>
      <c r="T349" s="35">
        <f t="shared" si="23"/>
        <v>39000</v>
      </c>
    </row>
    <row r="350" spans="1:20" x14ac:dyDescent="0.25">
      <c r="A350" s="14">
        <v>100349</v>
      </c>
      <c r="B350" s="15">
        <v>46141</v>
      </c>
      <c r="C350" s="16" t="s">
        <v>50</v>
      </c>
      <c r="D350" s="17" t="s">
        <v>51</v>
      </c>
      <c r="E350" s="16" t="s">
        <v>43</v>
      </c>
      <c r="F350" s="16" t="s">
        <v>27</v>
      </c>
      <c r="G350" s="17" t="s">
        <v>33</v>
      </c>
      <c r="H350" s="16" t="s">
        <v>130</v>
      </c>
      <c r="I350" s="16" t="s">
        <v>30</v>
      </c>
      <c r="J350" s="18">
        <v>2</v>
      </c>
      <c r="K350" s="19">
        <v>32000</v>
      </c>
      <c r="L350" s="20">
        <v>0.15</v>
      </c>
      <c r="M350" s="19">
        <f t="shared" si="20"/>
        <v>54400</v>
      </c>
      <c r="N350" s="19">
        <v>54400</v>
      </c>
      <c r="O350" s="4">
        <v>19000</v>
      </c>
      <c r="P350" s="17" t="s">
        <v>23</v>
      </c>
      <c r="Q350" s="17" t="s">
        <v>84</v>
      </c>
      <c r="R350" t="str">
        <f t="shared" si="21"/>
        <v>OK</v>
      </c>
      <c r="S350" s="2">
        <f t="shared" si="22"/>
        <v>1</v>
      </c>
      <c r="T350" s="35">
        <f t="shared" si="23"/>
        <v>16400</v>
      </c>
    </row>
    <row r="351" spans="1:20" x14ac:dyDescent="0.25">
      <c r="A351" s="21">
        <v>100350</v>
      </c>
      <c r="B351" s="22">
        <v>46170</v>
      </c>
      <c r="C351" s="23" t="s">
        <v>25</v>
      </c>
      <c r="D351" s="17" t="s">
        <v>26</v>
      </c>
      <c r="E351" s="23" t="s">
        <v>43</v>
      </c>
      <c r="F351" s="23" t="s">
        <v>19</v>
      </c>
      <c r="G351" s="17" t="s">
        <v>52</v>
      </c>
      <c r="H351" s="23" t="s">
        <v>141</v>
      </c>
      <c r="I351" s="23" t="s">
        <v>22</v>
      </c>
      <c r="J351" s="24">
        <v>3</v>
      </c>
      <c r="K351" s="25">
        <v>42000</v>
      </c>
      <c r="L351" s="26">
        <v>0.15</v>
      </c>
      <c r="M351" s="19">
        <f t="shared" si="20"/>
        <v>107100</v>
      </c>
      <c r="N351" s="25">
        <v>96390</v>
      </c>
      <c r="O351" s="4">
        <v>28000</v>
      </c>
      <c r="P351" s="27" t="s">
        <v>23</v>
      </c>
      <c r="Q351" s="17" t="s">
        <v>54</v>
      </c>
      <c r="R351" t="str">
        <f t="shared" si="21"/>
        <v>REVENUE MISMATCH</v>
      </c>
      <c r="S351" s="2">
        <f t="shared" si="22"/>
        <v>0.9</v>
      </c>
      <c r="T351" s="35">
        <f t="shared" si="23"/>
        <v>23100</v>
      </c>
    </row>
    <row r="352" spans="1:20" x14ac:dyDescent="0.25">
      <c r="A352" s="14">
        <v>100351</v>
      </c>
      <c r="B352" s="15">
        <v>46040</v>
      </c>
      <c r="C352" s="16" t="s">
        <v>35</v>
      </c>
      <c r="D352" s="17" t="s">
        <v>36</v>
      </c>
      <c r="E352" s="16" t="s">
        <v>43</v>
      </c>
      <c r="F352" s="16" t="s">
        <v>27</v>
      </c>
      <c r="G352" s="17" t="s">
        <v>33</v>
      </c>
      <c r="H352" s="16" t="s">
        <v>34</v>
      </c>
      <c r="I352" s="16" t="s">
        <v>22</v>
      </c>
      <c r="J352" s="18">
        <v>2</v>
      </c>
      <c r="K352" s="19">
        <v>32000</v>
      </c>
      <c r="L352" s="20">
        <v>0.1</v>
      </c>
      <c r="M352" s="19">
        <f t="shared" si="20"/>
        <v>57600</v>
      </c>
      <c r="N352" s="19">
        <v>57600</v>
      </c>
      <c r="O352" s="4">
        <v>19000</v>
      </c>
      <c r="P352" s="17" t="s">
        <v>23</v>
      </c>
      <c r="Q352" s="17" t="s">
        <v>47</v>
      </c>
      <c r="R352" t="str">
        <f t="shared" si="21"/>
        <v>OK</v>
      </c>
      <c r="S352" s="2">
        <f t="shared" si="22"/>
        <v>1</v>
      </c>
      <c r="T352" s="35">
        <f t="shared" si="23"/>
        <v>19600</v>
      </c>
    </row>
    <row r="353" spans="1:20" x14ac:dyDescent="0.25">
      <c r="A353" s="21">
        <v>100352</v>
      </c>
      <c r="B353" s="22">
        <v>46134</v>
      </c>
      <c r="C353" s="23" t="s">
        <v>25</v>
      </c>
      <c r="D353" s="17" t="s">
        <v>26</v>
      </c>
      <c r="E353" s="23" t="s">
        <v>37</v>
      </c>
      <c r="F353" s="23" t="s">
        <v>27</v>
      </c>
      <c r="G353" s="17" t="s">
        <v>33</v>
      </c>
      <c r="H353" s="23" t="s">
        <v>82</v>
      </c>
      <c r="I353" s="23" t="s">
        <v>22</v>
      </c>
      <c r="J353" s="24">
        <v>2</v>
      </c>
      <c r="K353" s="25">
        <v>32000</v>
      </c>
      <c r="L353" s="26">
        <v>0.15</v>
      </c>
      <c r="M353" s="19">
        <f t="shared" si="20"/>
        <v>54400</v>
      </c>
      <c r="N353" s="25">
        <v>54400</v>
      </c>
      <c r="O353" s="4">
        <v>19000</v>
      </c>
      <c r="P353" s="27" t="s">
        <v>23</v>
      </c>
      <c r="Q353" s="17" t="s">
        <v>47</v>
      </c>
      <c r="R353" t="str">
        <f t="shared" si="21"/>
        <v>OK</v>
      </c>
      <c r="S353" s="2">
        <f t="shared" si="22"/>
        <v>1</v>
      </c>
      <c r="T353" s="35">
        <f t="shared" si="23"/>
        <v>16400</v>
      </c>
    </row>
    <row r="354" spans="1:20" x14ac:dyDescent="0.25">
      <c r="A354" s="14">
        <v>100353</v>
      </c>
      <c r="B354" s="15">
        <v>46203</v>
      </c>
      <c r="C354" s="16" t="s">
        <v>32</v>
      </c>
      <c r="D354" s="17" t="s">
        <v>17</v>
      </c>
      <c r="E354" s="16" t="s">
        <v>37</v>
      </c>
      <c r="F354" s="16" t="s">
        <v>44</v>
      </c>
      <c r="G354" s="17" t="s">
        <v>65</v>
      </c>
      <c r="H354" s="16" t="s">
        <v>145</v>
      </c>
      <c r="I354" s="16" t="s">
        <v>22</v>
      </c>
      <c r="J354" s="18">
        <v>1</v>
      </c>
      <c r="K354" s="19">
        <v>28000</v>
      </c>
      <c r="L354" s="20">
        <v>0.15</v>
      </c>
      <c r="M354" s="19">
        <f t="shared" si="20"/>
        <v>23800</v>
      </c>
      <c r="N354" s="19">
        <v>23800</v>
      </c>
      <c r="O354" s="4">
        <v>16000</v>
      </c>
      <c r="P354" s="17" t="s">
        <v>23</v>
      </c>
      <c r="Q354" s="17" t="s">
        <v>47</v>
      </c>
      <c r="R354" t="str">
        <f t="shared" si="21"/>
        <v>OK</v>
      </c>
      <c r="S354" s="2">
        <f t="shared" si="22"/>
        <v>1</v>
      </c>
      <c r="T354" s="35">
        <f t="shared" si="23"/>
        <v>7800</v>
      </c>
    </row>
    <row r="355" spans="1:20" x14ac:dyDescent="0.25">
      <c r="A355" s="21">
        <v>100354</v>
      </c>
      <c r="B355" s="22">
        <v>46037</v>
      </c>
      <c r="C355" s="23" t="s">
        <v>50</v>
      </c>
      <c r="D355" s="17" t="s">
        <v>51</v>
      </c>
      <c r="E355" s="23" t="s">
        <v>37</v>
      </c>
      <c r="F355" s="23" t="s">
        <v>44</v>
      </c>
      <c r="G355" s="17" t="s">
        <v>60</v>
      </c>
      <c r="H355" s="23" t="s">
        <v>148</v>
      </c>
      <c r="I355" s="23" t="s">
        <v>30</v>
      </c>
      <c r="J355" s="24">
        <v>1</v>
      </c>
      <c r="K355" s="25">
        <v>9000</v>
      </c>
      <c r="L355" s="26">
        <v>0.15</v>
      </c>
      <c r="M355" s="19">
        <f t="shared" si="20"/>
        <v>7650</v>
      </c>
      <c r="N355" s="25">
        <v>7650</v>
      </c>
      <c r="O355" s="4">
        <v>3500</v>
      </c>
      <c r="P355" s="27" t="s">
        <v>23</v>
      </c>
      <c r="Q355" s="17" t="s">
        <v>54</v>
      </c>
      <c r="R355" t="str">
        <f t="shared" si="21"/>
        <v>OK</v>
      </c>
      <c r="S355" s="2">
        <f t="shared" si="22"/>
        <v>1</v>
      </c>
      <c r="T355" s="35">
        <f t="shared" si="23"/>
        <v>4150</v>
      </c>
    </row>
    <row r="356" spans="1:20" x14ac:dyDescent="0.25">
      <c r="A356" s="14">
        <v>100355</v>
      </c>
      <c r="B356" s="15">
        <v>46099</v>
      </c>
      <c r="C356" s="16" t="s">
        <v>42</v>
      </c>
      <c r="D356" s="17" t="s">
        <v>26</v>
      </c>
      <c r="E356" s="16" t="s">
        <v>37</v>
      </c>
      <c r="F356" s="16" t="s">
        <v>19</v>
      </c>
      <c r="G356" s="17" t="s">
        <v>52</v>
      </c>
      <c r="H356" s="16" t="s">
        <v>228</v>
      </c>
      <c r="I356" s="16" t="s">
        <v>30</v>
      </c>
      <c r="J356" s="18">
        <v>18</v>
      </c>
      <c r="K356" s="19">
        <v>42000</v>
      </c>
      <c r="L356" s="20">
        <v>0.1</v>
      </c>
      <c r="M356" s="19">
        <f t="shared" si="20"/>
        <v>680400</v>
      </c>
      <c r="N356" s="19">
        <v>680400</v>
      </c>
      <c r="O356" s="4">
        <v>28000</v>
      </c>
      <c r="P356" s="17" t="s">
        <v>23</v>
      </c>
      <c r="Q356" s="17" t="s">
        <v>31</v>
      </c>
      <c r="R356" t="str">
        <f t="shared" si="21"/>
        <v>OK</v>
      </c>
      <c r="S356" s="2">
        <f t="shared" si="22"/>
        <v>1</v>
      </c>
      <c r="T356" s="35">
        <f t="shared" si="23"/>
        <v>176400</v>
      </c>
    </row>
    <row r="357" spans="1:20" x14ac:dyDescent="0.25">
      <c r="A357" s="21">
        <v>100356</v>
      </c>
      <c r="B357" s="22">
        <v>46116</v>
      </c>
      <c r="C357" s="23" t="s">
        <v>50</v>
      </c>
      <c r="D357" s="17" t="s">
        <v>51</v>
      </c>
      <c r="E357" s="23" t="s">
        <v>37</v>
      </c>
      <c r="F357" s="23" t="s">
        <v>19</v>
      </c>
      <c r="G357" s="17" t="s">
        <v>20</v>
      </c>
      <c r="H357" s="23" t="s">
        <v>192</v>
      </c>
      <c r="I357" s="23" t="s">
        <v>30</v>
      </c>
      <c r="J357" s="24">
        <v>4</v>
      </c>
      <c r="K357" s="25">
        <v>58000</v>
      </c>
      <c r="L357" s="26">
        <v>0</v>
      </c>
      <c r="M357" s="19">
        <f t="shared" si="20"/>
        <v>232000</v>
      </c>
      <c r="N357" s="25">
        <v>232000</v>
      </c>
      <c r="O357" s="4">
        <v>39000</v>
      </c>
      <c r="P357" s="27" t="s">
        <v>23</v>
      </c>
      <c r="Q357" s="17" t="s">
        <v>47</v>
      </c>
      <c r="R357" t="str">
        <f t="shared" si="21"/>
        <v>OK</v>
      </c>
      <c r="S357" s="2">
        <f t="shared" si="22"/>
        <v>1</v>
      </c>
      <c r="T357" s="35">
        <f t="shared" si="23"/>
        <v>76000</v>
      </c>
    </row>
    <row r="358" spans="1:20" x14ac:dyDescent="0.25">
      <c r="A358" s="14">
        <v>100357</v>
      </c>
      <c r="B358" s="15">
        <v>46226</v>
      </c>
      <c r="C358" s="16" t="s">
        <v>16</v>
      </c>
      <c r="D358" s="17" t="s">
        <v>17</v>
      </c>
      <c r="E358" s="16" t="s">
        <v>43</v>
      </c>
      <c r="F358" s="16" t="s">
        <v>27</v>
      </c>
      <c r="G358" s="17" t="s">
        <v>38</v>
      </c>
      <c r="H358" s="16" t="s">
        <v>203</v>
      </c>
      <c r="I358" s="16" t="s">
        <v>30</v>
      </c>
      <c r="J358" s="18">
        <v>1</v>
      </c>
      <c r="K358" s="19">
        <v>26000</v>
      </c>
      <c r="L358" s="20">
        <v>0.2</v>
      </c>
      <c r="M358" s="19">
        <f t="shared" si="20"/>
        <v>20800</v>
      </c>
      <c r="N358" s="19">
        <v>20800</v>
      </c>
      <c r="O358" s="4">
        <v>15000</v>
      </c>
      <c r="P358" s="17" t="s">
        <v>23</v>
      </c>
      <c r="Q358" s="17" t="s">
        <v>58</v>
      </c>
      <c r="R358" t="str">
        <f t="shared" si="21"/>
        <v>OK</v>
      </c>
      <c r="S358" s="2">
        <f t="shared" si="22"/>
        <v>1</v>
      </c>
      <c r="T358" s="35">
        <f t="shared" si="23"/>
        <v>5800</v>
      </c>
    </row>
    <row r="359" spans="1:20" x14ac:dyDescent="0.25">
      <c r="A359" s="21">
        <v>100358</v>
      </c>
      <c r="B359" s="22">
        <v>46151</v>
      </c>
      <c r="C359" s="23" t="s">
        <v>16</v>
      </c>
      <c r="D359" s="17" t="s">
        <v>17</v>
      </c>
      <c r="E359" s="23" t="s">
        <v>37</v>
      </c>
      <c r="F359" s="23" t="s">
        <v>27</v>
      </c>
      <c r="G359" s="17" t="s">
        <v>38</v>
      </c>
      <c r="H359" s="23" t="s">
        <v>116</v>
      </c>
      <c r="I359" s="23" t="s">
        <v>30</v>
      </c>
      <c r="J359" s="24">
        <v>2</v>
      </c>
      <c r="K359" s="25">
        <v>26000</v>
      </c>
      <c r="L359" s="26">
        <v>0.1</v>
      </c>
      <c r="M359" s="19">
        <f t="shared" si="20"/>
        <v>46800</v>
      </c>
      <c r="N359" s="25">
        <v>46800</v>
      </c>
      <c r="O359" s="4">
        <v>15000</v>
      </c>
      <c r="P359" s="27" t="s">
        <v>76</v>
      </c>
      <c r="Q359" s="17" t="s">
        <v>47</v>
      </c>
      <c r="R359" t="str">
        <f t="shared" si="21"/>
        <v>OK</v>
      </c>
      <c r="S359" s="2">
        <f t="shared" si="22"/>
        <v>1</v>
      </c>
      <c r="T359" s="35">
        <f t="shared" si="23"/>
        <v>16800</v>
      </c>
    </row>
    <row r="360" spans="1:20" x14ac:dyDescent="0.25">
      <c r="A360" s="14">
        <v>100359</v>
      </c>
      <c r="B360" s="15">
        <v>46246</v>
      </c>
      <c r="C360" s="16" t="s">
        <v>16</v>
      </c>
      <c r="D360" s="17" t="s">
        <v>17</v>
      </c>
      <c r="E360" s="16" t="s">
        <v>37</v>
      </c>
      <c r="F360" s="16" t="s">
        <v>44</v>
      </c>
      <c r="G360" s="17" t="s">
        <v>65</v>
      </c>
      <c r="H360" s="16" t="s">
        <v>229</v>
      </c>
      <c r="I360" s="16" t="s">
        <v>22</v>
      </c>
      <c r="J360" s="18">
        <v>1</v>
      </c>
      <c r="K360" s="19">
        <v>28000</v>
      </c>
      <c r="L360" s="20">
        <v>0</v>
      </c>
      <c r="M360" s="19">
        <f t="shared" si="20"/>
        <v>28000</v>
      </c>
      <c r="N360" s="19">
        <v>28000</v>
      </c>
      <c r="O360" s="4">
        <v>16000</v>
      </c>
      <c r="P360" s="17" t="s">
        <v>23</v>
      </c>
      <c r="Q360" s="17" t="s">
        <v>54</v>
      </c>
      <c r="R360" t="str">
        <f t="shared" si="21"/>
        <v>OK</v>
      </c>
      <c r="S360" s="2">
        <f t="shared" si="22"/>
        <v>1</v>
      </c>
      <c r="T360" s="35">
        <f t="shared" si="23"/>
        <v>12000</v>
      </c>
    </row>
    <row r="361" spans="1:20" x14ac:dyDescent="0.25">
      <c r="A361" s="21">
        <v>100360</v>
      </c>
      <c r="B361" s="22">
        <v>46204</v>
      </c>
      <c r="C361" s="23" t="s">
        <v>35</v>
      </c>
      <c r="D361" s="17" t="s">
        <v>36</v>
      </c>
      <c r="E361" s="23" t="s">
        <v>37</v>
      </c>
      <c r="F361" s="23" t="s">
        <v>19</v>
      </c>
      <c r="G361" s="17" t="s">
        <v>52</v>
      </c>
      <c r="H361" s="23" t="s">
        <v>170</v>
      </c>
      <c r="I361" s="23" t="s">
        <v>30</v>
      </c>
      <c r="J361" s="24">
        <v>1</v>
      </c>
      <c r="K361" s="25">
        <v>42000</v>
      </c>
      <c r="L361" s="26">
        <v>0.15</v>
      </c>
      <c r="M361" s="19">
        <f t="shared" si="20"/>
        <v>35700</v>
      </c>
      <c r="N361" s="25">
        <v>35700</v>
      </c>
      <c r="O361" s="4">
        <v>28000</v>
      </c>
      <c r="P361" s="27" t="s">
        <v>23</v>
      </c>
      <c r="Q361" s="17" t="s">
        <v>31</v>
      </c>
      <c r="R361" t="str">
        <f t="shared" si="21"/>
        <v>OK</v>
      </c>
      <c r="S361" s="2">
        <f t="shared" si="22"/>
        <v>1</v>
      </c>
      <c r="T361" s="35">
        <f t="shared" si="23"/>
        <v>7700</v>
      </c>
    </row>
    <row r="362" spans="1:20" x14ac:dyDescent="0.25">
      <c r="A362" s="14">
        <v>100361</v>
      </c>
      <c r="B362" s="15">
        <v>46028</v>
      </c>
      <c r="C362" s="16" t="s">
        <v>50</v>
      </c>
      <c r="D362" s="17" t="s">
        <v>51</v>
      </c>
      <c r="E362" s="16" t="s">
        <v>37</v>
      </c>
      <c r="F362" s="16" t="s">
        <v>44</v>
      </c>
      <c r="G362" s="17" t="s">
        <v>241</v>
      </c>
      <c r="H362" s="16" t="s">
        <v>230</v>
      </c>
      <c r="I362" s="16" t="s">
        <v>22</v>
      </c>
      <c r="J362" s="18">
        <v>2</v>
      </c>
      <c r="K362" s="19">
        <v>6500</v>
      </c>
      <c r="L362" s="20">
        <v>0.05</v>
      </c>
      <c r="M362" s="19">
        <f t="shared" si="20"/>
        <v>12350</v>
      </c>
      <c r="N362" s="19">
        <v>12350</v>
      </c>
      <c r="O362" s="4">
        <v>2200</v>
      </c>
      <c r="P362" s="17" t="s">
        <v>23</v>
      </c>
      <c r="Q362" s="17" t="s">
        <v>84</v>
      </c>
      <c r="R362" t="str">
        <f t="shared" si="21"/>
        <v>OK</v>
      </c>
      <c r="S362" s="2">
        <f t="shared" si="22"/>
        <v>1</v>
      </c>
      <c r="T362" s="35">
        <f t="shared" si="23"/>
        <v>7950</v>
      </c>
    </row>
    <row r="363" spans="1:20" x14ac:dyDescent="0.25">
      <c r="A363" s="21">
        <v>100362</v>
      </c>
      <c r="B363" s="22">
        <v>46105</v>
      </c>
      <c r="C363" s="23" t="s">
        <v>42</v>
      </c>
      <c r="D363" s="17" t="s">
        <v>26</v>
      </c>
      <c r="E363" s="23" t="s">
        <v>37</v>
      </c>
      <c r="F363" s="23" t="s">
        <v>44</v>
      </c>
      <c r="G363" s="17" t="s">
        <v>60</v>
      </c>
      <c r="H363" s="23" t="s">
        <v>231</v>
      </c>
      <c r="I363" s="23" t="s">
        <v>22</v>
      </c>
      <c r="J363" s="24">
        <v>4</v>
      </c>
      <c r="K363" s="25">
        <v>9000</v>
      </c>
      <c r="L363" s="26">
        <v>0.15</v>
      </c>
      <c r="M363" s="19">
        <f t="shared" si="20"/>
        <v>30600</v>
      </c>
      <c r="N363" s="25">
        <v>30600</v>
      </c>
      <c r="O363" s="4">
        <v>3500</v>
      </c>
      <c r="P363" s="27" t="s">
        <v>23</v>
      </c>
      <c r="Q363" s="17" t="s">
        <v>64</v>
      </c>
      <c r="R363" t="str">
        <f t="shared" si="21"/>
        <v>OK</v>
      </c>
      <c r="S363" s="2">
        <f t="shared" si="22"/>
        <v>1</v>
      </c>
      <c r="T363" s="35">
        <f t="shared" si="23"/>
        <v>16600</v>
      </c>
    </row>
    <row r="364" spans="1:20" x14ac:dyDescent="0.25">
      <c r="A364" s="14">
        <v>100363</v>
      </c>
      <c r="B364" s="15">
        <v>46193</v>
      </c>
      <c r="C364" s="16" t="s">
        <v>50</v>
      </c>
      <c r="D364" s="17" t="s">
        <v>51</v>
      </c>
      <c r="E364" s="16" t="s">
        <v>43</v>
      </c>
      <c r="F364" s="16" t="s">
        <v>19</v>
      </c>
      <c r="G364" s="17" t="s">
        <v>62</v>
      </c>
      <c r="H364" s="16" t="s">
        <v>107</v>
      </c>
      <c r="I364" s="16" t="s">
        <v>30</v>
      </c>
      <c r="J364" s="18">
        <v>2</v>
      </c>
      <c r="K364" s="19">
        <v>24000</v>
      </c>
      <c r="L364" s="20">
        <v>0.1</v>
      </c>
      <c r="M364" s="19">
        <f t="shared" si="20"/>
        <v>43200</v>
      </c>
      <c r="N364" s="19">
        <v>43200</v>
      </c>
      <c r="O364" s="4">
        <v>15000</v>
      </c>
      <c r="P364" s="17" t="s">
        <v>23</v>
      </c>
      <c r="Q364" s="17" t="s">
        <v>64</v>
      </c>
      <c r="R364" t="str">
        <f t="shared" si="21"/>
        <v>OK</v>
      </c>
      <c r="S364" s="2">
        <f t="shared" si="22"/>
        <v>1</v>
      </c>
      <c r="T364" s="35">
        <f t="shared" si="23"/>
        <v>13200</v>
      </c>
    </row>
    <row r="365" spans="1:20" x14ac:dyDescent="0.25">
      <c r="A365" s="21">
        <v>100364</v>
      </c>
      <c r="B365" s="22">
        <v>46226</v>
      </c>
      <c r="C365" s="23" t="s">
        <v>32</v>
      </c>
      <c r="D365" s="17" t="s">
        <v>17</v>
      </c>
      <c r="E365" s="23" t="s">
        <v>43</v>
      </c>
      <c r="F365" s="23" t="s">
        <v>19</v>
      </c>
      <c r="G365" s="17" t="s">
        <v>62</v>
      </c>
      <c r="H365" s="23" t="s">
        <v>232</v>
      </c>
      <c r="I365" s="23" t="s">
        <v>30</v>
      </c>
      <c r="J365" s="24">
        <v>2</v>
      </c>
      <c r="K365" s="25">
        <v>24000</v>
      </c>
      <c r="L365" s="26">
        <v>0.25</v>
      </c>
      <c r="M365" s="19">
        <f t="shared" si="20"/>
        <v>36000</v>
      </c>
      <c r="N365" s="25">
        <v>36000</v>
      </c>
      <c r="O365" s="4">
        <v>15000</v>
      </c>
      <c r="P365" s="27" t="s">
        <v>76</v>
      </c>
      <c r="Q365" s="17" t="s">
        <v>54</v>
      </c>
      <c r="R365" t="str">
        <f t="shared" si="21"/>
        <v>OK</v>
      </c>
      <c r="S365" s="2">
        <f t="shared" si="22"/>
        <v>1</v>
      </c>
      <c r="T365" s="35">
        <f t="shared" si="23"/>
        <v>6000</v>
      </c>
    </row>
    <row r="366" spans="1:20" x14ac:dyDescent="0.25">
      <c r="A366" s="14">
        <v>100365</v>
      </c>
      <c r="B366" s="15">
        <v>46195</v>
      </c>
      <c r="C366" s="16" t="s">
        <v>50</v>
      </c>
      <c r="D366" s="17" t="s">
        <v>51</v>
      </c>
      <c r="E366" s="16" t="s">
        <v>18</v>
      </c>
      <c r="F366" s="16" t="s">
        <v>27</v>
      </c>
      <c r="G366" s="17" t="s">
        <v>28</v>
      </c>
      <c r="H366" s="16" t="s">
        <v>95</v>
      </c>
      <c r="I366" s="16" t="s">
        <v>30</v>
      </c>
      <c r="J366" s="18">
        <v>4</v>
      </c>
      <c r="K366" s="19">
        <v>165000</v>
      </c>
      <c r="L366" s="20">
        <v>0.05</v>
      </c>
      <c r="M366" s="19">
        <f t="shared" si="20"/>
        <v>627000</v>
      </c>
      <c r="N366" s="19">
        <v>627000</v>
      </c>
      <c r="O366" s="4">
        <v>112000</v>
      </c>
      <c r="P366" s="17" t="s">
        <v>23</v>
      </c>
      <c r="Q366" s="17" t="s">
        <v>24</v>
      </c>
      <c r="R366" t="str">
        <f t="shared" si="21"/>
        <v>OK</v>
      </c>
      <c r="S366" s="2">
        <f t="shared" si="22"/>
        <v>1</v>
      </c>
      <c r="T366" s="35">
        <f t="shared" si="23"/>
        <v>179000</v>
      </c>
    </row>
    <row r="367" spans="1:20" x14ac:dyDescent="0.25">
      <c r="A367" s="21">
        <v>100366</v>
      </c>
      <c r="B367" s="22">
        <v>46222</v>
      </c>
      <c r="C367" s="23" t="s">
        <v>32</v>
      </c>
      <c r="D367" s="17" t="s">
        <v>17</v>
      </c>
      <c r="E367" s="23" t="s">
        <v>18</v>
      </c>
      <c r="F367" s="23" t="s">
        <v>19</v>
      </c>
      <c r="G367" s="17" t="s">
        <v>62</v>
      </c>
      <c r="H367" s="23" t="s">
        <v>204</v>
      </c>
      <c r="I367" s="23" t="s">
        <v>30</v>
      </c>
      <c r="J367" s="24">
        <v>1</v>
      </c>
      <c r="K367" s="25">
        <v>24000</v>
      </c>
      <c r="L367" s="26">
        <v>0.25</v>
      </c>
      <c r="M367" s="19">
        <f t="shared" si="20"/>
        <v>18000</v>
      </c>
      <c r="N367" s="25">
        <v>18000</v>
      </c>
      <c r="O367" s="4">
        <v>15000</v>
      </c>
      <c r="P367" s="27" t="s">
        <v>76</v>
      </c>
      <c r="Q367" s="17" t="s">
        <v>47</v>
      </c>
      <c r="R367" t="str">
        <f t="shared" si="21"/>
        <v>OK</v>
      </c>
      <c r="S367" s="2">
        <f t="shared" si="22"/>
        <v>1</v>
      </c>
      <c r="T367" s="35">
        <f t="shared" si="23"/>
        <v>3000</v>
      </c>
    </row>
    <row r="368" spans="1:20" x14ac:dyDescent="0.25">
      <c r="A368" s="14">
        <v>100367</v>
      </c>
      <c r="B368" s="15">
        <v>46225</v>
      </c>
      <c r="C368" s="16" t="s">
        <v>35</v>
      </c>
      <c r="D368" s="17" t="s">
        <v>36</v>
      </c>
      <c r="E368" s="16" t="s">
        <v>43</v>
      </c>
      <c r="F368" s="16" t="s">
        <v>44</v>
      </c>
      <c r="G368" s="17" t="s">
        <v>60</v>
      </c>
      <c r="H368" s="16" t="s">
        <v>106</v>
      </c>
      <c r="I368" s="16" t="s">
        <v>30</v>
      </c>
      <c r="J368" s="18">
        <v>2</v>
      </c>
      <c r="K368" s="19">
        <v>9000</v>
      </c>
      <c r="L368" s="20">
        <v>0</v>
      </c>
      <c r="M368" s="19">
        <f t="shared" si="20"/>
        <v>18000</v>
      </c>
      <c r="N368" s="19">
        <v>18000</v>
      </c>
      <c r="O368" s="4">
        <v>3500</v>
      </c>
      <c r="P368" s="17" t="s">
        <v>23</v>
      </c>
      <c r="Q368" s="17" t="s">
        <v>31</v>
      </c>
      <c r="R368" t="str">
        <f t="shared" si="21"/>
        <v>OK</v>
      </c>
      <c r="S368" s="2">
        <f t="shared" si="22"/>
        <v>1</v>
      </c>
      <c r="T368" s="35">
        <f t="shared" si="23"/>
        <v>11000</v>
      </c>
    </row>
    <row r="369" spans="1:20" x14ac:dyDescent="0.25">
      <c r="A369" s="21">
        <v>100368</v>
      </c>
      <c r="B369" s="22">
        <v>46216</v>
      </c>
      <c r="C369" s="23" t="s">
        <v>42</v>
      </c>
      <c r="D369" s="17" t="s">
        <v>26</v>
      </c>
      <c r="E369" s="23" t="s">
        <v>43</v>
      </c>
      <c r="F369" s="23" t="s">
        <v>44</v>
      </c>
      <c r="G369" s="17" t="s">
        <v>241</v>
      </c>
      <c r="H369" s="23" t="s">
        <v>179</v>
      </c>
      <c r="I369" s="23" t="s">
        <v>30</v>
      </c>
      <c r="J369" s="24">
        <v>4</v>
      </c>
      <c r="K369" s="25">
        <v>6500</v>
      </c>
      <c r="L369" s="26">
        <v>0.05</v>
      </c>
      <c r="M369" s="19">
        <f t="shared" si="20"/>
        <v>24700</v>
      </c>
      <c r="N369" s="25">
        <v>24700</v>
      </c>
      <c r="O369" s="4">
        <v>2200</v>
      </c>
      <c r="P369" s="27" t="s">
        <v>23</v>
      </c>
      <c r="Q369" s="17" t="s">
        <v>47</v>
      </c>
      <c r="R369" t="str">
        <f t="shared" si="21"/>
        <v>OK</v>
      </c>
      <c r="S369" s="2">
        <f t="shared" si="22"/>
        <v>1</v>
      </c>
      <c r="T369" s="35">
        <f t="shared" si="23"/>
        <v>15900</v>
      </c>
    </row>
    <row r="370" spans="1:20" x14ac:dyDescent="0.25">
      <c r="A370" s="14">
        <v>100369</v>
      </c>
      <c r="B370" s="15">
        <v>46193</v>
      </c>
      <c r="C370" s="16" t="s">
        <v>35</v>
      </c>
      <c r="D370" s="17" t="s">
        <v>36</v>
      </c>
      <c r="E370" s="16" t="s">
        <v>18</v>
      </c>
      <c r="F370" s="16" t="s">
        <v>27</v>
      </c>
      <c r="G370" s="17" t="s">
        <v>38</v>
      </c>
      <c r="H370" s="16" t="s">
        <v>179</v>
      </c>
      <c r="I370" s="16" t="s">
        <v>30</v>
      </c>
      <c r="J370" s="18">
        <v>2</v>
      </c>
      <c r="K370" s="19">
        <v>26000</v>
      </c>
      <c r="L370" s="20">
        <v>0.05</v>
      </c>
      <c r="M370" s="19">
        <f t="shared" si="20"/>
        <v>49400</v>
      </c>
      <c r="N370" s="19">
        <v>59280</v>
      </c>
      <c r="O370" s="4">
        <v>15000</v>
      </c>
      <c r="P370" s="17" t="s">
        <v>23</v>
      </c>
      <c r="Q370" s="17" t="s">
        <v>47</v>
      </c>
      <c r="R370" t="str">
        <f t="shared" si="21"/>
        <v>REVENUE MISMATCH</v>
      </c>
      <c r="S370" s="2">
        <f t="shared" si="22"/>
        <v>1.2</v>
      </c>
      <c r="T370" s="35">
        <f t="shared" si="23"/>
        <v>19400</v>
      </c>
    </row>
    <row r="371" spans="1:20" x14ac:dyDescent="0.25">
      <c r="A371" s="21">
        <v>100370</v>
      </c>
      <c r="B371" s="22">
        <v>46185</v>
      </c>
      <c r="C371" s="23" t="s">
        <v>25</v>
      </c>
      <c r="D371" s="17" t="s">
        <v>26</v>
      </c>
      <c r="E371" s="23" t="s">
        <v>18</v>
      </c>
      <c r="F371" s="23" t="s">
        <v>19</v>
      </c>
      <c r="G371" s="17" t="s">
        <v>20</v>
      </c>
      <c r="H371" s="23" t="s">
        <v>143</v>
      </c>
      <c r="I371" s="23" t="s">
        <v>30</v>
      </c>
      <c r="J371" s="24">
        <v>1</v>
      </c>
      <c r="K371" s="25">
        <v>58000</v>
      </c>
      <c r="L371" s="26">
        <v>0.1</v>
      </c>
      <c r="M371" s="19">
        <f t="shared" si="20"/>
        <v>52200</v>
      </c>
      <c r="N371" s="25">
        <v>52200</v>
      </c>
      <c r="O371" s="4">
        <v>39000</v>
      </c>
      <c r="P371" s="27" t="s">
        <v>23</v>
      </c>
      <c r="Q371" s="17" t="s">
        <v>40</v>
      </c>
      <c r="R371" t="str">
        <f t="shared" si="21"/>
        <v>OK</v>
      </c>
      <c r="S371" s="2">
        <f t="shared" si="22"/>
        <v>1</v>
      </c>
      <c r="T371" s="35">
        <f t="shared" si="23"/>
        <v>13200</v>
      </c>
    </row>
    <row r="372" spans="1:20" x14ac:dyDescent="0.25">
      <c r="A372" s="14">
        <v>100371</v>
      </c>
      <c r="B372" s="15">
        <v>46131</v>
      </c>
      <c r="C372" s="16" t="s">
        <v>50</v>
      </c>
      <c r="D372" s="17" t="s">
        <v>51</v>
      </c>
      <c r="E372" s="16" t="s">
        <v>43</v>
      </c>
      <c r="F372" s="16" t="s">
        <v>19</v>
      </c>
      <c r="G372" s="17" t="s">
        <v>20</v>
      </c>
      <c r="H372" s="16" t="s">
        <v>144</v>
      </c>
      <c r="I372" s="16" t="s">
        <v>22</v>
      </c>
      <c r="J372" s="18">
        <v>3</v>
      </c>
      <c r="K372" s="19">
        <v>58000</v>
      </c>
      <c r="L372" s="20">
        <v>0.1</v>
      </c>
      <c r="M372" s="19">
        <f t="shared" si="20"/>
        <v>156600</v>
      </c>
      <c r="N372" s="19">
        <v>156600</v>
      </c>
      <c r="O372" s="4">
        <v>39000</v>
      </c>
      <c r="P372" s="17" t="s">
        <v>23</v>
      </c>
      <c r="Q372" s="17" t="s">
        <v>40</v>
      </c>
      <c r="R372" t="str">
        <f t="shared" si="21"/>
        <v>OK</v>
      </c>
      <c r="S372" s="2">
        <f t="shared" si="22"/>
        <v>1</v>
      </c>
      <c r="T372" s="35">
        <f t="shared" si="23"/>
        <v>39600</v>
      </c>
    </row>
    <row r="373" spans="1:20" x14ac:dyDescent="0.25">
      <c r="A373" s="21">
        <v>100372</v>
      </c>
      <c r="B373" s="22">
        <v>46234</v>
      </c>
      <c r="C373" s="23" t="s">
        <v>32</v>
      </c>
      <c r="D373" s="17" t="s">
        <v>17</v>
      </c>
      <c r="E373" s="23" t="s">
        <v>43</v>
      </c>
      <c r="F373" s="23" t="s">
        <v>19</v>
      </c>
      <c r="G373" s="17" t="s">
        <v>62</v>
      </c>
      <c r="H373" s="23" t="s">
        <v>152</v>
      </c>
      <c r="I373" s="23" t="s">
        <v>30</v>
      </c>
      <c r="J373" s="24">
        <v>1</v>
      </c>
      <c r="K373" s="25">
        <v>24000</v>
      </c>
      <c r="L373" s="26">
        <v>0</v>
      </c>
      <c r="M373" s="19">
        <f t="shared" si="20"/>
        <v>24000</v>
      </c>
      <c r="N373" s="25">
        <v>24000</v>
      </c>
      <c r="O373" s="4">
        <v>15000</v>
      </c>
      <c r="P373" s="27" t="s">
        <v>23</v>
      </c>
      <c r="Q373" s="17" t="s">
        <v>40</v>
      </c>
      <c r="R373" t="str">
        <f t="shared" si="21"/>
        <v>OK</v>
      </c>
      <c r="S373" s="2">
        <f t="shared" si="22"/>
        <v>1</v>
      </c>
      <c r="T373" s="35">
        <f t="shared" si="23"/>
        <v>9000</v>
      </c>
    </row>
    <row r="374" spans="1:20" x14ac:dyDescent="0.25">
      <c r="A374" s="14">
        <v>100373</v>
      </c>
      <c r="B374" s="15">
        <v>46075</v>
      </c>
      <c r="C374" s="16" t="s">
        <v>32</v>
      </c>
      <c r="D374" s="17" t="s">
        <v>17</v>
      </c>
      <c r="E374" s="16" t="s">
        <v>43</v>
      </c>
      <c r="F374" s="16" t="s">
        <v>19</v>
      </c>
      <c r="G374" s="17" t="s">
        <v>20</v>
      </c>
      <c r="H374" s="16" t="s">
        <v>199</v>
      </c>
      <c r="I374" s="16" t="s">
        <v>22</v>
      </c>
      <c r="J374" s="18">
        <v>2</v>
      </c>
      <c r="K374" s="19">
        <v>58000</v>
      </c>
      <c r="L374" s="20">
        <v>0.2</v>
      </c>
      <c r="M374" s="19">
        <f t="shared" si="20"/>
        <v>92800</v>
      </c>
      <c r="N374" s="19">
        <v>92800</v>
      </c>
      <c r="O374" s="4">
        <v>39000</v>
      </c>
      <c r="P374" s="17" t="s">
        <v>76</v>
      </c>
      <c r="Q374" s="17" t="s">
        <v>24</v>
      </c>
      <c r="R374" t="str">
        <f t="shared" si="21"/>
        <v>OK</v>
      </c>
      <c r="S374" s="2">
        <f t="shared" si="22"/>
        <v>1</v>
      </c>
      <c r="T374" s="35">
        <f t="shared" si="23"/>
        <v>14800</v>
      </c>
    </row>
    <row r="375" spans="1:20" x14ac:dyDescent="0.25">
      <c r="A375" s="21">
        <v>100374</v>
      </c>
      <c r="B375" s="22">
        <v>46112</v>
      </c>
      <c r="C375" s="23" t="s">
        <v>35</v>
      </c>
      <c r="D375" s="17" t="s">
        <v>36</v>
      </c>
      <c r="E375" s="23" t="s">
        <v>37</v>
      </c>
      <c r="F375" s="23" t="s">
        <v>19</v>
      </c>
      <c r="G375" s="17" t="s">
        <v>62</v>
      </c>
      <c r="H375" s="23" t="s">
        <v>92</v>
      </c>
      <c r="I375" s="23" t="s">
        <v>22</v>
      </c>
      <c r="J375" s="24">
        <v>1</v>
      </c>
      <c r="K375" s="25">
        <v>24000</v>
      </c>
      <c r="L375" s="26">
        <v>0.05</v>
      </c>
      <c r="M375" s="19">
        <f t="shared" si="20"/>
        <v>22800</v>
      </c>
      <c r="N375" s="25">
        <v>22800</v>
      </c>
      <c r="O375" s="4">
        <v>15000</v>
      </c>
      <c r="P375" s="27" t="s">
        <v>23</v>
      </c>
      <c r="Q375" s="17" t="s">
        <v>54</v>
      </c>
      <c r="R375" t="str">
        <f t="shared" si="21"/>
        <v>OK</v>
      </c>
      <c r="S375" s="2">
        <f t="shared" si="22"/>
        <v>1</v>
      </c>
      <c r="T375" s="35">
        <f t="shared" si="23"/>
        <v>7800</v>
      </c>
    </row>
    <row r="376" spans="1:20" x14ac:dyDescent="0.25">
      <c r="A376" s="14">
        <v>100375</v>
      </c>
      <c r="B376" s="15">
        <v>46026</v>
      </c>
      <c r="C376" s="16" t="s">
        <v>32</v>
      </c>
      <c r="D376" s="17" t="s">
        <v>17</v>
      </c>
      <c r="E376" s="16" t="s">
        <v>43</v>
      </c>
      <c r="F376" s="16" t="s">
        <v>19</v>
      </c>
      <c r="G376" s="17" t="s">
        <v>52</v>
      </c>
      <c r="H376" s="16" t="s">
        <v>189</v>
      </c>
      <c r="I376" s="16" t="s">
        <v>22</v>
      </c>
      <c r="J376" s="18">
        <v>2</v>
      </c>
      <c r="K376" s="19">
        <v>42000</v>
      </c>
      <c r="L376" s="20">
        <v>0.25</v>
      </c>
      <c r="M376" s="19">
        <f t="shared" si="20"/>
        <v>63000</v>
      </c>
      <c r="N376" s="19">
        <v>63000</v>
      </c>
      <c r="O376" s="4">
        <v>28000</v>
      </c>
      <c r="P376" s="17" t="s">
        <v>23</v>
      </c>
      <c r="Q376" s="17" t="s">
        <v>24</v>
      </c>
      <c r="R376" t="str">
        <f t="shared" si="21"/>
        <v>OK</v>
      </c>
      <c r="S376" s="2">
        <f t="shared" si="22"/>
        <v>1</v>
      </c>
      <c r="T376" s="35">
        <f t="shared" si="23"/>
        <v>7000</v>
      </c>
    </row>
    <row r="377" spans="1:20" x14ac:dyDescent="0.25">
      <c r="A377" s="21">
        <v>100376</v>
      </c>
      <c r="B377" s="22">
        <v>46050</v>
      </c>
      <c r="C377" s="23" t="s">
        <v>35</v>
      </c>
      <c r="D377" s="17" t="s">
        <v>36</v>
      </c>
      <c r="E377" s="23" t="s">
        <v>43</v>
      </c>
      <c r="F377" s="23" t="s">
        <v>27</v>
      </c>
      <c r="G377" s="17" t="s">
        <v>28</v>
      </c>
      <c r="H377" s="23" t="s">
        <v>233</v>
      </c>
      <c r="I377" s="23" t="s">
        <v>22</v>
      </c>
      <c r="J377" s="24">
        <v>1</v>
      </c>
      <c r="K377" s="25">
        <v>165000</v>
      </c>
      <c r="L377" s="26">
        <v>0.1</v>
      </c>
      <c r="M377" s="19">
        <f t="shared" si="20"/>
        <v>148500</v>
      </c>
      <c r="N377" s="25">
        <v>148500</v>
      </c>
      <c r="O377" s="4">
        <v>112000</v>
      </c>
      <c r="P377" s="27" t="s">
        <v>23</v>
      </c>
      <c r="Q377" s="17" t="s">
        <v>31</v>
      </c>
      <c r="R377" t="str">
        <f t="shared" si="21"/>
        <v>OK</v>
      </c>
      <c r="S377" s="2">
        <f t="shared" si="22"/>
        <v>1</v>
      </c>
      <c r="T377" s="35">
        <f t="shared" si="23"/>
        <v>36500</v>
      </c>
    </row>
    <row r="378" spans="1:20" x14ac:dyDescent="0.25">
      <c r="A378" s="14">
        <v>100377</v>
      </c>
      <c r="B378" s="15">
        <v>46139</v>
      </c>
      <c r="C378" s="16" t="s">
        <v>42</v>
      </c>
      <c r="D378" s="17" t="s">
        <v>26</v>
      </c>
      <c r="E378" s="16" t="s">
        <v>43</v>
      </c>
      <c r="F378" s="16" t="s">
        <v>44</v>
      </c>
      <c r="G378" s="17" t="s">
        <v>241</v>
      </c>
      <c r="H378" s="16" t="s">
        <v>87</v>
      </c>
      <c r="I378" s="16" t="s">
        <v>22</v>
      </c>
      <c r="J378" s="18">
        <v>3</v>
      </c>
      <c r="K378" s="19">
        <v>6500</v>
      </c>
      <c r="L378" s="20">
        <v>0.05</v>
      </c>
      <c r="M378" s="19">
        <f t="shared" si="20"/>
        <v>18525</v>
      </c>
      <c r="N378" s="19">
        <v>18525</v>
      </c>
      <c r="O378" s="4">
        <v>2200</v>
      </c>
      <c r="P378" s="17" t="s">
        <v>76</v>
      </c>
      <c r="Q378" s="17" t="s">
        <v>31</v>
      </c>
      <c r="R378" t="str">
        <f t="shared" si="21"/>
        <v>OK</v>
      </c>
      <c r="S378" s="2">
        <f t="shared" si="22"/>
        <v>1</v>
      </c>
      <c r="T378" s="35">
        <f t="shared" si="23"/>
        <v>11925</v>
      </c>
    </row>
    <row r="379" spans="1:20" x14ac:dyDescent="0.25">
      <c r="A379" s="21">
        <v>100378</v>
      </c>
      <c r="B379" s="22">
        <v>46121</v>
      </c>
      <c r="C379" s="23" t="s">
        <v>50</v>
      </c>
      <c r="D379" s="17" t="s">
        <v>51</v>
      </c>
      <c r="E379" s="23" t="s">
        <v>37</v>
      </c>
      <c r="F379" s="23" t="s">
        <v>27</v>
      </c>
      <c r="G379" s="17" t="s">
        <v>28</v>
      </c>
      <c r="H379" s="23" t="s">
        <v>48</v>
      </c>
      <c r="I379" s="23" t="s">
        <v>22</v>
      </c>
      <c r="J379" s="24">
        <v>3</v>
      </c>
      <c r="K379" s="25">
        <v>165000</v>
      </c>
      <c r="L379" s="26">
        <v>0.05</v>
      </c>
      <c r="M379" s="19">
        <f t="shared" si="20"/>
        <v>470250</v>
      </c>
      <c r="N379" s="25">
        <v>470250</v>
      </c>
      <c r="O379" s="4">
        <v>112000</v>
      </c>
      <c r="P379" s="27" t="s">
        <v>23</v>
      </c>
      <c r="Q379" s="17" t="s">
        <v>84</v>
      </c>
      <c r="R379" t="str">
        <f t="shared" si="21"/>
        <v>OK</v>
      </c>
      <c r="S379" s="2">
        <f t="shared" si="22"/>
        <v>1</v>
      </c>
      <c r="T379" s="35">
        <f t="shared" si="23"/>
        <v>134250</v>
      </c>
    </row>
    <row r="380" spans="1:20" x14ac:dyDescent="0.25">
      <c r="A380" s="14">
        <v>100379</v>
      </c>
      <c r="B380" s="15">
        <v>46095</v>
      </c>
      <c r="C380" s="16" t="s">
        <v>32</v>
      </c>
      <c r="D380" s="17" t="s">
        <v>17</v>
      </c>
      <c r="E380" s="16" t="s">
        <v>43</v>
      </c>
      <c r="F380" s="16" t="s">
        <v>19</v>
      </c>
      <c r="G380" s="17" t="s">
        <v>20</v>
      </c>
      <c r="H380" s="16" t="s">
        <v>66</v>
      </c>
      <c r="I380" s="16" t="s">
        <v>30</v>
      </c>
      <c r="J380" s="18">
        <v>3</v>
      </c>
      <c r="K380" s="19">
        <v>58000</v>
      </c>
      <c r="L380" s="20">
        <v>0.25</v>
      </c>
      <c r="M380" s="19">
        <f t="shared" si="20"/>
        <v>130500</v>
      </c>
      <c r="N380" s="19">
        <v>130500</v>
      </c>
      <c r="O380" s="4">
        <v>39000</v>
      </c>
      <c r="P380" s="17" t="s">
        <v>23</v>
      </c>
      <c r="Q380" s="17" t="s">
        <v>64</v>
      </c>
      <c r="R380" t="str">
        <f t="shared" si="21"/>
        <v>OK</v>
      </c>
      <c r="S380" s="2">
        <f t="shared" si="22"/>
        <v>1</v>
      </c>
      <c r="T380" s="35">
        <f t="shared" si="23"/>
        <v>13500</v>
      </c>
    </row>
    <row r="381" spans="1:20" x14ac:dyDescent="0.25">
      <c r="A381" s="21">
        <v>100380</v>
      </c>
      <c r="B381" s="22">
        <v>46051</v>
      </c>
      <c r="C381" s="23" t="s">
        <v>35</v>
      </c>
      <c r="D381" s="17" t="s">
        <v>36</v>
      </c>
      <c r="E381" s="23" t="s">
        <v>18</v>
      </c>
      <c r="F381" s="23" t="s">
        <v>27</v>
      </c>
      <c r="G381" s="17" t="s">
        <v>33</v>
      </c>
      <c r="H381" s="23" t="s">
        <v>172</v>
      </c>
      <c r="I381" s="23" t="s">
        <v>30</v>
      </c>
      <c r="J381" s="24">
        <v>2</v>
      </c>
      <c r="K381" s="25">
        <v>32000</v>
      </c>
      <c r="L381" s="26">
        <v>0.15</v>
      </c>
      <c r="M381" s="19">
        <f t="shared" si="20"/>
        <v>54400</v>
      </c>
      <c r="N381" s="25">
        <v>54400</v>
      </c>
      <c r="O381" s="4">
        <v>19000</v>
      </c>
      <c r="P381" s="27" t="s">
        <v>23</v>
      </c>
      <c r="Q381" s="17" t="s">
        <v>31</v>
      </c>
      <c r="R381" t="str">
        <f t="shared" si="21"/>
        <v>OK</v>
      </c>
      <c r="S381" s="2">
        <f t="shared" si="22"/>
        <v>1</v>
      </c>
      <c r="T381" s="35">
        <f t="shared" si="23"/>
        <v>16400</v>
      </c>
    </row>
    <row r="382" spans="1:20" x14ac:dyDescent="0.25">
      <c r="A382" s="14">
        <v>100381</v>
      </c>
      <c r="B382" s="15">
        <v>46115</v>
      </c>
      <c r="C382" s="16" t="s">
        <v>55</v>
      </c>
      <c r="D382" s="17" t="s">
        <v>56</v>
      </c>
      <c r="E382" s="16" t="s">
        <v>43</v>
      </c>
      <c r="F382" s="16" t="s">
        <v>44</v>
      </c>
      <c r="G382" s="17" t="s">
        <v>60</v>
      </c>
      <c r="H382" s="16" t="s">
        <v>107</v>
      </c>
      <c r="I382" s="16" t="s">
        <v>30</v>
      </c>
      <c r="J382" s="18">
        <v>2</v>
      </c>
      <c r="K382" s="19">
        <v>9000</v>
      </c>
      <c r="L382" s="20">
        <v>0.05</v>
      </c>
      <c r="M382" s="19">
        <f t="shared" si="20"/>
        <v>17100</v>
      </c>
      <c r="N382" s="19">
        <v>17100</v>
      </c>
      <c r="O382" s="4">
        <v>3500</v>
      </c>
      <c r="P382" s="17" t="s">
        <v>23</v>
      </c>
      <c r="Q382" s="17" t="s">
        <v>31</v>
      </c>
      <c r="R382" t="str">
        <f t="shared" si="21"/>
        <v>OK</v>
      </c>
      <c r="S382" s="2">
        <f t="shared" si="22"/>
        <v>1</v>
      </c>
      <c r="T382" s="35">
        <f t="shared" si="23"/>
        <v>10100</v>
      </c>
    </row>
    <row r="383" spans="1:20" x14ac:dyDescent="0.25">
      <c r="A383" s="21">
        <v>100382</v>
      </c>
      <c r="B383" s="22">
        <v>46249</v>
      </c>
      <c r="C383" s="23" t="s">
        <v>55</v>
      </c>
      <c r="D383" s="17" t="s">
        <v>56</v>
      </c>
      <c r="E383" s="23" t="s">
        <v>37</v>
      </c>
      <c r="F383" s="23" t="s">
        <v>19</v>
      </c>
      <c r="G383" s="17" t="s">
        <v>52</v>
      </c>
      <c r="H383" s="23" t="s">
        <v>165</v>
      </c>
      <c r="I383" s="23" t="s">
        <v>22</v>
      </c>
      <c r="J383" s="24">
        <v>4</v>
      </c>
      <c r="K383" s="25">
        <v>42000</v>
      </c>
      <c r="L383" s="26">
        <v>0.15</v>
      </c>
      <c r="M383" s="19">
        <f t="shared" si="20"/>
        <v>142800</v>
      </c>
      <c r="N383" s="25">
        <v>142800</v>
      </c>
      <c r="O383" s="4">
        <v>28000</v>
      </c>
      <c r="P383" s="27" t="s">
        <v>23</v>
      </c>
      <c r="Q383" s="17" t="s">
        <v>84</v>
      </c>
      <c r="R383" t="str">
        <f t="shared" si="21"/>
        <v>OK</v>
      </c>
      <c r="S383" s="2">
        <f t="shared" si="22"/>
        <v>1</v>
      </c>
      <c r="T383" s="35">
        <f t="shared" si="23"/>
        <v>30800</v>
      </c>
    </row>
    <row r="384" spans="1:20" x14ac:dyDescent="0.25">
      <c r="A384" s="14">
        <v>100383</v>
      </c>
      <c r="B384" s="15">
        <v>46073</v>
      </c>
      <c r="C384" s="16" t="s">
        <v>25</v>
      </c>
      <c r="D384" s="17" t="s">
        <v>26</v>
      </c>
      <c r="E384" s="16" t="s">
        <v>43</v>
      </c>
      <c r="F384" s="16" t="s">
        <v>44</v>
      </c>
      <c r="G384" s="17" t="s">
        <v>241</v>
      </c>
      <c r="H384" s="16" t="s">
        <v>234</v>
      </c>
      <c r="I384" s="16" t="s">
        <v>30</v>
      </c>
      <c r="J384" s="18">
        <v>22</v>
      </c>
      <c r="K384" s="19">
        <v>6500</v>
      </c>
      <c r="L384" s="20">
        <v>0</v>
      </c>
      <c r="M384" s="19">
        <f t="shared" si="20"/>
        <v>143000</v>
      </c>
      <c r="N384" s="19">
        <v>143000</v>
      </c>
      <c r="O384" s="4">
        <v>2200</v>
      </c>
      <c r="P384" s="17" t="s">
        <v>23</v>
      </c>
      <c r="Q384" s="17" t="s">
        <v>58</v>
      </c>
      <c r="R384" t="str">
        <f t="shared" si="21"/>
        <v>OK</v>
      </c>
      <c r="S384" s="2">
        <f t="shared" si="22"/>
        <v>1</v>
      </c>
      <c r="T384" s="35">
        <f t="shared" si="23"/>
        <v>94600</v>
      </c>
    </row>
    <row r="385" spans="1:20" x14ac:dyDescent="0.25">
      <c r="A385" s="21">
        <v>100384</v>
      </c>
      <c r="B385" s="22">
        <v>46227</v>
      </c>
      <c r="C385" s="23" t="s">
        <v>50</v>
      </c>
      <c r="D385" s="17" t="s">
        <v>51</v>
      </c>
      <c r="E385" s="23" t="s">
        <v>37</v>
      </c>
      <c r="F385" s="23" t="s">
        <v>19</v>
      </c>
      <c r="G385" s="17" t="s">
        <v>62</v>
      </c>
      <c r="H385" s="23" t="s">
        <v>178</v>
      </c>
      <c r="I385" s="23" t="s">
        <v>30</v>
      </c>
      <c r="J385" s="24">
        <v>3</v>
      </c>
      <c r="K385" s="25">
        <v>24000</v>
      </c>
      <c r="L385" s="26">
        <v>0.05</v>
      </c>
      <c r="M385" s="19">
        <f t="shared" si="20"/>
        <v>68400</v>
      </c>
      <c r="N385" s="25">
        <v>68400</v>
      </c>
      <c r="O385" s="4">
        <v>15000</v>
      </c>
      <c r="P385" s="27" t="s">
        <v>23</v>
      </c>
      <c r="Q385" s="17" t="s">
        <v>64</v>
      </c>
      <c r="R385" t="str">
        <f t="shared" si="21"/>
        <v>OK</v>
      </c>
      <c r="S385" s="2">
        <f t="shared" si="22"/>
        <v>1</v>
      </c>
      <c r="T385" s="35">
        <f t="shared" si="23"/>
        <v>23400</v>
      </c>
    </row>
    <row r="386" spans="1:20" x14ac:dyDescent="0.25">
      <c r="A386" s="14">
        <v>100385</v>
      </c>
      <c r="B386" s="15">
        <v>46205</v>
      </c>
      <c r="C386" s="16" t="s">
        <v>42</v>
      </c>
      <c r="D386" s="17" t="s">
        <v>26</v>
      </c>
      <c r="E386" s="16" t="s">
        <v>43</v>
      </c>
      <c r="F386" s="16" t="s">
        <v>27</v>
      </c>
      <c r="G386" s="17" t="s">
        <v>28</v>
      </c>
      <c r="H386" s="16" t="s">
        <v>53</v>
      </c>
      <c r="I386" s="16" t="s">
        <v>30</v>
      </c>
      <c r="J386" s="18">
        <v>3</v>
      </c>
      <c r="K386" s="19">
        <v>165000</v>
      </c>
      <c r="L386" s="20">
        <v>0</v>
      </c>
      <c r="M386" s="19">
        <f t="shared" ref="M386:M449" si="24">J386*K386*(1-L386)</f>
        <v>495000</v>
      </c>
      <c r="N386" s="19">
        <v>495000</v>
      </c>
      <c r="O386" s="4">
        <v>112000</v>
      </c>
      <c r="P386" s="17" t="s">
        <v>23</v>
      </c>
      <c r="Q386" s="17" t="s">
        <v>31</v>
      </c>
      <c r="R386" t="str">
        <f t="shared" ref="R386:R421" si="25">IF(ABS(N386-M386)&gt;1,"REVENUE MISMATCH","OK")</f>
        <v>OK</v>
      </c>
      <c r="S386" s="2">
        <f t="shared" ref="S386:S421" si="26">N386/M386</f>
        <v>1</v>
      </c>
      <c r="T386" s="35">
        <f t="shared" si="23"/>
        <v>159000</v>
      </c>
    </row>
    <row r="387" spans="1:20" x14ac:dyDescent="0.25">
      <c r="A387" s="21">
        <v>100386</v>
      </c>
      <c r="B387" s="22">
        <v>46049</v>
      </c>
      <c r="C387" s="23" t="s">
        <v>25</v>
      </c>
      <c r="D387" s="17" t="s">
        <v>26</v>
      </c>
      <c r="E387" s="23" t="s">
        <v>18</v>
      </c>
      <c r="F387" s="23" t="s">
        <v>44</v>
      </c>
      <c r="G387" s="17" t="s">
        <v>60</v>
      </c>
      <c r="H387" s="23" t="s">
        <v>98</v>
      </c>
      <c r="I387" s="23" t="s">
        <v>22</v>
      </c>
      <c r="J387" s="24">
        <v>3</v>
      </c>
      <c r="K387" s="25">
        <v>9000</v>
      </c>
      <c r="L387" s="26">
        <v>0</v>
      </c>
      <c r="M387" s="19">
        <f t="shared" si="24"/>
        <v>27000</v>
      </c>
      <c r="N387" s="25">
        <v>27000</v>
      </c>
      <c r="O387" s="4">
        <v>3500</v>
      </c>
      <c r="P387" s="27" t="s">
        <v>23</v>
      </c>
      <c r="Q387" s="17" t="s">
        <v>64</v>
      </c>
      <c r="R387" t="str">
        <f t="shared" si="25"/>
        <v>OK</v>
      </c>
      <c r="S387" s="2">
        <f t="shared" si="26"/>
        <v>1</v>
      </c>
      <c r="T387" s="35">
        <f t="shared" ref="T387:T421" si="27">M387-(O387*J387)</f>
        <v>16500</v>
      </c>
    </row>
    <row r="388" spans="1:20" x14ac:dyDescent="0.25">
      <c r="A388" s="14">
        <v>100387</v>
      </c>
      <c r="B388" s="15">
        <v>46231</v>
      </c>
      <c r="C388" s="16" t="s">
        <v>50</v>
      </c>
      <c r="D388" s="17" t="s">
        <v>51</v>
      </c>
      <c r="E388" s="16" t="s">
        <v>43</v>
      </c>
      <c r="F388" s="16" t="s">
        <v>27</v>
      </c>
      <c r="G388" s="17" t="s">
        <v>33</v>
      </c>
      <c r="H388" s="16" t="s">
        <v>235</v>
      </c>
      <c r="I388" s="16" t="s">
        <v>30</v>
      </c>
      <c r="J388" s="18">
        <v>4</v>
      </c>
      <c r="K388" s="19">
        <v>32000</v>
      </c>
      <c r="L388" s="20">
        <v>0.1</v>
      </c>
      <c r="M388" s="19">
        <f t="shared" si="24"/>
        <v>115200</v>
      </c>
      <c r="N388" s="19">
        <v>115200</v>
      </c>
      <c r="O388" s="4">
        <v>19000</v>
      </c>
      <c r="P388" s="17" t="s">
        <v>23</v>
      </c>
      <c r="Q388" s="17" t="s">
        <v>31</v>
      </c>
      <c r="R388" t="str">
        <f t="shared" si="25"/>
        <v>OK</v>
      </c>
      <c r="S388" s="2">
        <f t="shared" si="26"/>
        <v>1</v>
      </c>
      <c r="T388" s="35">
        <f t="shared" si="27"/>
        <v>39200</v>
      </c>
    </row>
    <row r="389" spans="1:20" x14ac:dyDescent="0.25">
      <c r="A389" s="21">
        <v>100388</v>
      </c>
      <c r="B389" s="22">
        <v>46259</v>
      </c>
      <c r="C389" s="23" t="s">
        <v>55</v>
      </c>
      <c r="D389" s="17" t="s">
        <v>56</v>
      </c>
      <c r="E389" s="23" t="s">
        <v>43</v>
      </c>
      <c r="F389" s="23" t="s">
        <v>27</v>
      </c>
      <c r="G389" s="17" t="s">
        <v>33</v>
      </c>
      <c r="H389" s="23" t="s">
        <v>229</v>
      </c>
      <c r="I389" s="23" t="s">
        <v>30</v>
      </c>
      <c r="J389" s="24">
        <v>1</v>
      </c>
      <c r="K389" s="25">
        <v>32000</v>
      </c>
      <c r="L389" s="26">
        <v>0</v>
      </c>
      <c r="M389" s="19">
        <f t="shared" si="24"/>
        <v>32000</v>
      </c>
      <c r="N389" s="25">
        <v>32000</v>
      </c>
      <c r="O389" s="4">
        <v>19000</v>
      </c>
      <c r="P389" s="27" t="s">
        <v>23</v>
      </c>
      <c r="Q389" s="17" t="s">
        <v>47</v>
      </c>
      <c r="R389" t="str">
        <f t="shared" si="25"/>
        <v>OK</v>
      </c>
      <c r="S389" s="2">
        <f t="shared" si="26"/>
        <v>1</v>
      </c>
      <c r="T389" s="35">
        <f t="shared" si="27"/>
        <v>13000</v>
      </c>
    </row>
    <row r="390" spans="1:20" x14ac:dyDescent="0.25">
      <c r="A390" s="14">
        <v>100389</v>
      </c>
      <c r="B390" s="15">
        <v>46190</v>
      </c>
      <c r="C390" s="16" t="s">
        <v>50</v>
      </c>
      <c r="D390" s="17" t="s">
        <v>51</v>
      </c>
      <c r="E390" s="16" t="s">
        <v>43</v>
      </c>
      <c r="F390" s="16" t="s">
        <v>19</v>
      </c>
      <c r="G390" s="17" t="s">
        <v>62</v>
      </c>
      <c r="H390" s="16" t="s">
        <v>34</v>
      </c>
      <c r="I390" s="16" t="s">
        <v>22</v>
      </c>
      <c r="J390" s="18">
        <v>1</v>
      </c>
      <c r="K390" s="19">
        <v>24000</v>
      </c>
      <c r="L390" s="20">
        <v>0.05</v>
      </c>
      <c r="M390" s="19">
        <f t="shared" si="24"/>
        <v>22800</v>
      </c>
      <c r="N390" s="19">
        <v>22800</v>
      </c>
      <c r="O390" s="4">
        <v>15000</v>
      </c>
      <c r="P390" s="17" t="s">
        <v>23</v>
      </c>
      <c r="Q390" s="17" t="s">
        <v>84</v>
      </c>
      <c r="R390" t="str">
        <f t="shared" si="25"/>
        <v>OK</v>
      </c>
      <c r="S390" s="2">
        <f t="shared" si="26"/>
        <v>1</v>
      </c>
      <c r="T390" s="35">
        <f t="shared" si="27"/>
        <v>7800</v>
      </c>
    </row>
    <row r="391" spans="1:20" x14ac:dyDescent="0.25">
      <c r="A391" s="21">
        <v>100390</v>
      </c>
      <c r="B391" s="22">
        <v>46240</v>
      </c>
      <c r="C391" s="23" t="s">
        <v>35</v>
      </c>
      <c r="D391" s="17" t="s">
        <v>36</v>
      </c>
      <c r="E391" s="23" t="s">
        <v>18</v>
      </c>
      <c r="F391" s="23" t="s">
        <v>19</v>
      </c>
      <c r="G391" s="17" t="s">
        <v>20</v>
      </c>
      <c r="H391" s="23" t="s">
        <v>227</v>
      </c>
      <c r="I391" s="23" t="s">
        <v>30</v>
      </c>
      <c r="J391" s="24">
        <v>2</v>
      </c>
      <c r="K391" s="25">
        <v>58000</v>
      </c>
      <c r="L391" s="26">
        <v>0.1</v>
      </c>
      <c r="M391" s="19">
        <f t="shared" si="24"/>
        <v>104400</v>
      </c>
      <c r="N391" s="25">
        <v>104400</v>
      </c>
      <c r="O391" s="4">
        <v>39000</v>
      </c>
      <c r="P391" s="27" t="s">
        <v>23</v>
      </c>
      <c r="Q391" s="17" t="s">
        <v>64</v>
      </c>
      <c r="R391" t="str">
        <f t="shared" si="25"/>
        <v>OK</v>
      </c>
      <c r="S391" s="2">
        <f t="shared" si="26"/>
        <v>1</v>
      </c>
      <c r="T391" s="35">
        <f t="shared" si="27"/>
        <v>26400</v>
      </c>
    </row>
    <row r="392" spans="1:20" x14ac:dyDescent="0.25">
      <c r="A392" s="14">
        <v>100391</v>
      </c>
      <c r="B392" s="15">
        <v>46125</v>
      </c>
      <c r="C392" s="16" t="s">
        <v>35</v>
      </c>
      <c r="D392" s="17" t="s">
        <v>36</v>
      </c>
      <c r="E392" s="16" t="s">
        <v>37</v>
      </c>
      <c r="F392" s="16" t="s">
        <v>44</v>
      </c>
      <c r="G392" s="17" t="s">
        <v>60</v>
      </c>
      <c r="H392" s="16" t="s">
        <v>133</v>
      </c>
      <c r="I392" s="16" t="s">
        <v>22</v>
      </c>
      <c r="J392" s="18">
        <v>1</v>
      </c>
      <c r="K392" s="19">
        <v>9000</v>
      </c>
      <c r="L392" s="20">
        <v>0.05</v>
      </c>
      <c r="M392" s="19">
        <f t="shared" si="24"/>
        <v>8550</v>
      </c>
      <c r="N392" s="19">
        <v>8550</v>
      </c>
      <c r="O392" s="4">
        <v>3500</v>
      </c>
      <c r="P392" s="17" t="s">
        <v>23</v>
      </c>
      <c r="Q392" s="17" t="s">
        <v>58</v>
      </c>
      <c r="R392" t="str">
        <f t="shared" si="25"/>
        <v>OK</v>
      </c>
      <c r="S392" s="2">
        <f t="shared" si="26"/>
        <v>1</v>
      </c>
      <c r="T392" s="35">
        <f t="shared" si="27"/>
        <v>5050</v>
      </c>
    </row>
    <row r="393" spans="1:20" x14ac:dyDescent="0.25">
      <c r="A393" s="21">
        <v>100392</v>
      </c>
      <c r="B393" s="22">
        <v>46178</v>
      </c>
      <c r="C393" s="23" t="s">
        <v>42</v>
      </c>
      <c r="D393" s="17" t="s">
        <v>26</v>
      </c>
      <c r="E393" s="23" t="s">
        <v>43</v>
      </c>
      <c r="F393" s="23" t="s">
        <v>44</v>
      </c>
      <c r="G393" s="17" t="s">
        <v>241</v>
      </c>
      <c r="H393" s="23" t="s">
        <v>161</v>
      </c>
      <c r="I393" s="23" t="s">
        <v>22</v>
      </c>
      <c r="J393" s="24">
        <v>2</v>
      </c>
      <c r="K393" s="25">
        <v>6500</v>
      </c>
      <c r="L393" s="26">
        <v>0.15</v>
      </c>
      <c r="M393" s="19">
        <f t="shared" si="24"/>
        <v>11050</v>
      </c>
      <c r="N393" s="25">
        <v>11050</v>
      </c>
      <c r="O393" s="4">
        <v>2200</v>
      </c>
      <c r="P393" s="27" t="s">
        <v>23</v>
      </c>
      <c r="Q393" s="17" t="s">
        <v>58</v>
      </c>
      <c r="R393" t="str">
        <f t="shared" si="25"/>
        <v>OK</v>
      </c>
      <c r="S393" s="2">
        <f t="shared" si="26"/>
        <v>1</v>
      </c>
      <c r="T393" s="35">
        <f t="shared" si="27"/>
        <v>6650</v>
      </c>
    </row>
    <row r="394" spans="1:20" x14ac:dyDescent="0.25">
      <c r="A394" s="14">
        <v>100393</v>
      </c>
      <c r="B394" s="15">
        <v>46039</v>
      </c>
      <c r="C394" s="16" t="s">
        <v>35</v>
      </c>
      <c r="D394" s="17" t="s">
        <v>36</v>
      </c>
      <c r="E394" s="16" t="s">
        <v>37</v>
      </c>
      <c r="F394" s="16" t="s">
        <v>44</v>
      </c>
      <c r="G394" s="17" t="s">
        <v>241</v>
      </c>
      <c r="H394" s="16" t="s">
        <v>93</v>
      </c>
      <c r="I394" s="16" t="s">
        <v>30</v>
      </c>
      <c r="J394" s="18">
        <v>2</v>
      </c>
      <c r="K394" s="19">
        <v>6500</v>
      </c>
      <c r="L394" s="20">
        <v>0.1</v>
      </c>
      <c r="M394" s="19">
        <f t="shared" si="24"/>
        <v>11700</v>
      </c>
      <c r="N394" s="19">
        <v>11700</v>
      </c>
      <c r="O394" s="4">
        <v>2200</v>
      </c>
      <c r="P394" s="17" t="s">
        <v>23</v>
      </c>
      <c r="Q394" s="17" t="s">
        <v>24</v>
      </c>
      <c r="R394" t="str">
        <f t="shared" si="25"/>
        <v>OK</v>
      </c>
      <c r="S394" s="2">
        <f t="shared" si="26"/>
        <v>1</v>
      </c>
      <c r="T394" s="35">
        <f t="shared" si="27"/>
        <v>7300</v>
      </c>
    </row>
    <row r="395" spans="1:20" x14ac:dyDescent="0.25">
      <c r="A395" s="21">
        <v>100394</v>
      </c>
      <c r="B395" s="22">
        <v>46255</v>
      </c>
      <c r="C395" s="23" t="s">
        <v>25</v>
      </c>
      <c r="D395" s="17" t="s">
        <v>26</v>
      </c>
      <c r="E395" s="23" t="s">
        <v>37</v>
      </c>
      <c r="F395" s="23" t="s">
        <v>44</v>
      </c>
      <c r="G395" s="17" t="s">
        <v>60</v>
      </c>
      <c r="H395" s="23" t="s">
        <v>236</v>
      </c>
      <c r="I395" s="23" t="s">
        <v>30</v>
      </c>
      <c r="J395" s="24">
        <v>3</v>
      </c>
      <c r="K395" s="25">
        <v>9000</v>
      </c>
      <c r="L395" s="26">
        <v>0.05</v>
      </c>
      <c r="M395" s="19">
        <f t="shared" si="24"/>
        <v>25650</v>
      </c>
      <c r="N395" s="25">
        <v>25650</v>
      </c>
      <c r="O395" s="4">
        <v>3500</v>
      </c>
      <c r="P395" s="27" t="s">
        <v>23</v>
      </c>
      <c r="Q395" s="17" t="s">
        <v>84</v>
      </c>
      <c r="R395" t="str">
        <f t="shared" si="25"/>
        <v>OK</v>
      </c>
      <c r="S395" s="2">
        <f t="shared" si="26"/>
        <v>1</v>
      </c>
      <c r="T395" s="35">
        <f t="shared" si="27"/>
        <v>15150</v>
      </c>
    </row>
    <row r="396" spans="1:20" x14ac:dyDescent="0.25">
      <c r="A396" s="14">
        <v>100395</v>
      </c>
      <c r="B396" s="15">
        <v>46151</v>
      </c>
      <c r="C396" s="16" t="s">
        <v>35</v>
      </c>
      <c r="D396" s="17" t="s">
        <v>36</v>
      </c>
      <c r="E396" s="16" t="s">
        <v>18</v>
      </c>
      <c r="F396" s="16" t="s">
        <v>44</v>
      </c>
      <c r="G396" s="17" t="s">
        <v>65</v>
      </c>
      <c r="H396" s="16" t="s">
        <v>86</v>
      </c>
      <c r="I396" s="16" t="s">
        <v>30</v>
      </c>
      <c r="J396" s="18">
        <v>2</v>
      </c>
      <c r="K396" s="19">
        <v>28000</v>
      </c>
      <c r="L396" s="20">
        <v>0.05</v>
      </c>
      <c r="M396" s="19">
        <f t="shared" si="24"/>
        <v>53200</v>
      </c>
      <c r="N396" s="19">
        <v>53200</v>
      </c>
      <c r="O396" s="4">
        <v>16000</v>
      </c>
      <c r="P396" s="17" t="s">
        <v>23</v>
      </c>
      <c r="Q396" s="17" t="s">
        <v>84</v>
      </c>
      <c r="R396" t="str">
        <f t="shared" si="25"/>
        <v>OK</v>
      </c>
      <c r="S396" s="2">
        <f t="shared" si="26"/>
        <v>1</v>
      </c>
      <c r="T396" s="35">
        <f t="shared" si="27"/>
        <v>21200</v>
      </c>
    </row>
    <row r="397" spans="1:20" x14ac:dyDescent="0.25">
      <c r="A397" s="21">
        <v>100396</v>
      </c>
      <c r="B397" s="22">
        <v>46048</v>
      </c>
      <c r="C397" s="23" t="s">
        <v>32</v>
      </c>
      <c r="D397" s="17" t="s">
        <v>17</v>
      </c>
      <c r="E397" s="23" t="s">
        <v>43</v>
      </c>
      <c r="F397" s="23" t="s">
        <v>19</v>
      </c>
      <c r="G397" s="17" t="s">
        <v>62</v>
      </c>
      <c r="H397" s="23" t="s">
        <v>90</v>
      </c>
      <c r="I397" s="23" t="s">
        <v>30</v>
      </c>
      <c r="J397" s="24">
        <v>1</v>
      </c>
      <c r="K397" s="25">
        <v>24000</v>
      </c>
      <c r="L397" s="26">
        <v>0.2</v>
      </c>
      <c r="M397" s="19">
        <f t="shared" si="24"/>
        <v>19200</v>
      </c>
      <c r="N397" s="25">
        <v>19200</v>
      </c>
      <c r="O397" s="4">
        <v>15000</v>
      </c>
      <c r="P397" s="27" t="s">
        <v>23</v>
      </c>
      <c r="Q397" s="17" t="s">
        <v>47</v>
      </c>
      <c r="R397" t="str">
        <f t="shared" si="25"/>
        <v>OK</v>
      </c>
      <c r="S397" s="2">
        <f t="shared" si="26"/>
        <v>1</v>
      </c>
      <c r="T397" s="35">
        <f t="shared" si="27"/>
        <v>4200</v>
      </c>
    </row>
    <row r="398" spans="1:20" x14ac:dyDescent="0.25">
      <c r="A398" s="14">
        <v>100397</v>
      </c>
      <c r="B398" s="15">
        <v>46190</v>
      </c>
      <c r="C398" s="16" t="s">
        <v>42</v>
      </c>
      <c r="D398" s="17" t="s">
        <v>26</v>
      </c>
      <c r="E398" s="16" t="s">
        <v>18</v>
      </c>
      <c r="F398" s="16" t="s">
        <v>27</v>
      </c>
      <c r="G398" s="17" t="s">
        <v>28</v>
      </c>
      <c r="H398" s="16" t="s">
        <v>111</v>
      </c>
      <c r="I398" s="16" t="s">
        <v>22</v>
      </c>
      <c r="J398" s="18">
        <v>3</v>
      </c>
      <c r="K398" s="19">
        <v>165000</v>
      </c>
      <c r="L398" s="20">
        <v>0</v>
      </c>
      <c r="M398" s="19">
        <f t="shared" si="24"/>
        <v>495000</v>
      </c>
      <c r="N398" s="19">
        <v>495000</v>
      </c>
      <c r="O398" s="4">
        <v>112000</v>
      </c>
      <c r="P398" s="17" t="s">
        <v>23</v>
      </c>
      <c r="Q398" s="17" t="s">
        <v>40</v>
      </c>
      <c r="R398" t="str">
        <f t="shared" si="25"/>
        <v>OK</v>
      </c>
      <c r="S398" s="2">
        <f t="shared" si="26"/>
        <v>1</v>
      </c>
      <c r="T398" s="35">
        <f t="shared" si="27"/>
        <v>159000</v>
      </c>
    </row>
    <row r="399" spans="1:20" x14ac:dyDescent="0.25">
      <c r="A399" s="21">
        <v>100398</v>
      </c>
      <c r="B399" s="22">
        <v>46218</v>
      </c>
      <c r="C399" s="23" t="s">
        <v>25</v>
      </c>
      <c r="D399" s="17" t="s">
        <v>26</v>
      </c>
      <c r="E399" s="23" t="s">
        <v>43</v>
      </c>
      <c r="F399" s="23" t="s">
        <v>19</v>
      </c>
      <c r="G399" s="17" t="s">
        <v>20</v>
      </c>
      <c r="H399" s="23" t="s">
        <v>69</v>
      </c>
      <c r="I399" s="23" t="s">
        <v>30</v>
      </c>
      <c r="J399" s="24">
        <v>4</v>
      </c>
      <c r="K399" s="25">
        <v>58000</v>
      </c>
      <c r="L399" s="26">
        <v>0</v>
      </c>
      <c r="M399" s="19">
        <f t="shared" si="24"/>
        <v>232000</v>
      </c>
      <c r="N399" s="25">
        <v>232000</v>
      </c>
      <c r="O399" s="4">
        <v>39000</v>
      </c>
      <c r="P399" s="27" t="s">
        <v>23</v>
      </c>
      <c r="Q399" s="17" t="s">
        <v>40</v>
      </c>
      <c r="R399" t="str">
        <f t="shared" si="25"/>
        <v>OK</v>
      </c>
      <c r="S399" s="2">
        <f t="shared" si="26"/>
        <v>1</v>
      </c>
      <c r="T399" s="35">
        <f t="shared" si="27"/>
        <v>76000</v>
      </c>
    </row>
    <row r="400" spans="1:20" x14ac:dyDescent="0.25">
      <c r="A400" s="14">
        <v>100399</v>
      </c>
      <c r="B400" s="15">
        <v>46173</v>
      </c>
      <c r="C400" s="16" t="s">
        <v>35</v>
      </c>
      <c r="D400" s="17" t="s">
        <v>36</v>
      </c>
      <c r="E400" s="16" t="s">
        <v>37</v>
      </c>
      <c r="F400" s="16" t="s">
        <v>27</v>
      </c>
      <c r="G400" s="17" t="s">
        <v>38</v>
      </c>
      <c r="H400" s="16" t="s">
        <v>129</v>
      </c>
      <c r="I400" s="16" t="s">
        <v>30</v>
      </c>
      <c r="J400" s="18">
        <v>2</v>
      </c>
      <c r="K400" s="19">
        <v>26000</v>
      </c>
      <c r="L400" s="20">
        <v>0.1</v>
      </c>
      <c r="M400" s="19">
        <f t="shared" si="24"/>
        <v>46800</v>
      </c>
      <c r="N400" s="19">
        <v>46800</v>
      </c>
      <c r="O400" s="4">
        <v>15000</v>
      </c>
      <c r="P400" s="17" t="s">
        <v>23</v>
      </c>
      <c r="Q400" s="17" t="s">
        <v>24</v>
      </c>
      <c r="R400" t="str">
        <f t="shared" si="25"/>
        <v>OK</v>
      </c>
      <c r="S400" s="2">
        <f t="shared" si="26"/>
        <v>1</v>
      </c>
      <c r="T400" s="35">
        <f t="shared" si="27"/>
        <v>16800</v>
      </c>
    </row>
    <row r="401" spans="1:20" x14ac:dyDescent="0.25">
      <c r="A401" s="21">
        <v>100400</v>
      </c>
      <c r="B401" s="22">
        <v>46141</v>
      </c>
      <c r="C401" s="23" t="s">
        <v>50</v>
      </c>
      <c r="D401" s="17" t="s">
        <v>51</v>
      </c>
      <c r="E401" s="23" t="s">
        <v>18</v>
      </c>
      <c r="F401" s="23" t="s">
        <v>19</v>
      </c>
      <c r="G401" s="17" t="s">
        <v>20</v>
      </c>
      <c r="H401" s="23" t="s">
        <v>111</v>
      </c>
      <c r="I401" s="23" t="s">
        <v>22</v>
      </c>
      <c r="J401" s="24">
        <v>1</v>
      </c>
      <c r="K401" s="25">
        <v>58000</v>
      </c>
      <c r="L401" s="26">
        <v>0</v>
      </c>
      <c r="M401" s="19">
        <f t="shared" si="24"/>
        <v>58000</v>
      </c>
      <c r="N401" s="25">
        <v>58000</v>
      </c>
      <c r="O401" s="4">
        <v>39000</v>
      </c>
      <c r="P401" s="27" t="s">
        <v>23</v>
      </c>
      <c r="Q401" s="17" t="s">
        <v>84</v>
      </c>
      <c r="R401" t="str">
        <f t="shared" si="25"/>
        <v>OK</v>
      </c>
      <c r="S401" s="2">
        <f t="shared" si="26"/>
        <v>1</v>
      </c>
      <c r="T401" s="35">
        <f t="shared" si="27"/>
        <v>19000</v>
      </c>
    </row>
    <row r="402" spans="1:20" x14ac:dyDescent="0.25">
      <c r="A402" s="14">
        <v>100401</v>
      </c>
      <c r="B402" s="15">
        <v>46168</v>
      </c>
      <c r="C402" s="16" t="s">
        <v>50</v>
      </c>
      <c r="D402" s="17" t="s">
        <v>51</v>
      </c>
      <c r="E402" s="16" t="s">
        <v>37</v>
      </c>
      <c r="F402" s="16" t="s">
        <v>27</v>
      </c>
      <c r="G402" s="17" t="s">
        <v>28</v>
      </c>
      <c r="H402" s="16" t="s">
        <v>173</v>
      </c>
      <c r="I402" s="16" t="s">
        <v>30</v>
      </c>
      <c r="J402" s="18">
        <v>3</v>
      </c>
      <c r="K402" s="19">
        <v>165000</v>
      </c>
      <c r="L402" s="20">
        <v>0</v>
      </c>
      <c r="M402" s="19">
        <f t="shared" si="24"/>
        <v>495000</v>
      </c>
      <c r="N402" s="19">
        <v>495000</v>
      </c>
      <c r="O402" s="4">
        <v>112000</v>
      </c>
      <c r="P402" s="17" t="s">
        <v>76</v>
      </c>
      <c r="Q402" s="17" t="s">
        <v>54</v>
      </c>
      <c r="R402" t="str">
        <f t="shared" si="25"/>
        <v>OK</v>
      </c>
      <c r="S402" s="2">
        <f t="shared" si="26"/>
        <v>1</v>
      </c>
      <c r="T402" s="35">
        <f t="shared" si="27"/>
        <v>159000</v>
      </c>
    </row>
    <row r="403" spans="1:20" x14ac:dyDescent="0.25">
      <c r="A403" s="21">
        <v>100402</v>
      </c>
      <c r="B403" s="22">
        <v>46043</v>
      </c>
      <c r="C403" s="23" t="s">
        <v>50</v>
      </c>
      <c r="D403" s="17" t="s">
        <v>51</v>
      </c>
      <c r="E403" s="23" t="s">
        <v>18</v>
      </c>
      <c r="F403" s="23" t="s">
        <v>27</v>
      </c>
      <c r="G403" s="17" t="s">
        <v>28</v>
      </c>
      <c r="H403" s="23" t="s">
        <v>154</v>
      </c>
      <c r="I403" s="23" t="s">
        <v>30</v>
      </c>
      <c r="J403" s="24">
        <v>1</v>
      </c>
      <c r="K403" s="25">
        <v>165000</v>
      </c>
      <c r="L403" s="26">
        <v>0.1</v>
      </c>
      <c r="M403" s="19">
        <f t="shared" si="24"/>
        <v>148500</v>
      </c>
      <c r="N403" s="25">
        <v>148500</v>
      </c>
      <c r="O403" s="4">
        <v>112000</v>
      </c>
      <c r="P403" s="27" t="s">
        <v>23</v>
      </c>
      <c r="Q403" s="17" t="s">
        <v>84</v>
      </c>
      <c r="R403" t="str">
        <f t="shared" si="25"/>
        <v>OK</v>
      </c>
      <c r="S403" s="2">
        <f t="shared" si="26"/>
        <v>1</v>
      </c>
      <c r="T403" s="35">
        <f t="shared" si="27"/>
        <v>36500</v>
      </c>
    </row>
    <row r="404" spans="1:20" x14ac:dyDescent="0.25">
      <c r="A404" s="14">
        <v>100403</v>
      </c>
      <c r="B404" s="15">
        <v>46136</v>
      </c>
      <c r="C404" s="16" t="s">
        <v>55</v>
      </c>
      <c r="D404" s="17" t="s">
        <v>56</v>
      </c>
      <c r="E404" s="16" t="s">
        <v>43</v>
      </c>
      <c r="F404" s="16" t="s">
        <v>19</v>
      </c>
      <c r="G404" s="17" t="s">
        <v>52</v>
      </c>
      <c r="H404" s="16" t="s">
        <v>160</v>
      </c>
      <c r="I404" s="16" t="s">
        <v>22</v>
      </c>
      <c r="J404" s="18">
        <v>3</v>
      </c>
      <c r="K404" s="19">
        <v>42000</v>
      </c>
      <c r="L404" s="20">
        <v>0.05</v>
      </c>
      <c r="M404" s="19">
        <f t="shared" si="24"/>
        <v>119700</v>
      </c>
      <c r="N404" s="19">
        <v>95760</v>
      </c>
      <c r="O404" s="4">
        <v>28000</v>
      </c>
      <c r="P404" s="17" t="s">
        <v>23</v>
      </c>
      <c r="Q404" s="17" t="s">
        <v>54</v>
      </c>
      <c r="R404" t="str">
        <f t="shared" si="25"/>
        <v>REVENUE MISMATCH</v>
      </c>
      <c r="S404" s="2">
        <f t="shared" si="26"/>
        <v>0.8</v>
      </c>
      <c r="T404" s="35">
        <f t="shared" si="27"/>
        <v>35700</v>
      </c>
    </row>
    <row r="405" spans="1:20" x14ac:dyDescent="0.25">
      <c r="A405" s="21">
        <v>100404</v>
      </c>
      <c r="B405" s="22">
        <v>46164</v>
      </c>
      <c r="C405" s="23" t="s">
        <v>35</v>
      </c>
      <c r="D405" s="17" t="s">
        <v>36</v>
      </c>
      <c r="E405" s="23" t="s">
        <v>37</v>
      </c>
      <c r="F405" s="23" t="s">
        <v>19</v>
      </c>
      <c r="G405" s="17" t="s">
        <v>52</v>
      </c>
      <c r="H405" s="23" t="s">
        <v>68</v>
      </c>
      <c r="I405" s="23" t="s">
        <v>30</v>
      </c>
      <c r="J405" s="24">
        <v>1</v>
      </c>
      <c r="K405" s="25">
        <v>42000</v>
      </c>
      <c r="L405" s="26">
        <v>0</v>
      </c>
      <c r="M405" s="19">
        <f t="shared" si="24"/>
        <v>42000</v>
      </c>
      <c r="N405" s="25">
        <v>42000</v>
      </c>
      <c r="O405" s="4">
        <v>28000</v>
      </c>
      <c r="P405" s="27" t="s">
        <v>23</v>
      </c>
      <c r="Q405" s="17" t="s">
        <v>54</v>
      </c>
      <c r="R405" t="str">
        <f t="shared" si="25"/>
        <v>OK</v>
      </c>
      <c r="S405" s="2">
        <f t="shared" si="26"/>
        <v>1</v>
      </c>
      <c r="T405" s="35">
        <f t="shared" si="27"/>
        <v>14000</v>
      </c>
    </row>
    <row r="406" spans="1:20" x14ac:dyDescent="0.25">
      <c r="A406" s="14">
        <v>100405</v>
      </c>
      <c r="B406" s="15">
        <v>46152</v>
      </c>
      <c r="C406" s="16" t="s">
        <v>55</v>
      </c>
      <c r="D406" s="17" t="s">
        <v>56</v>
      </c>
      <c r="E406" s="16" t="s">
        <v>37</v>
      </c>
      <c r="F406" s="16" t="s">
        <v>19</v>
      </c>
      <c r="G406" s="17" t="s">
        <v>52</v>
      </c>
      <c r="H406" s="16" t="s">
        <v>208</v>
      </c>
      <c r="I406" s="16" t="s">
        <v>22</v>
      </c>
      <c r="J406" s="18">
        <v>3</v>
      </c>
      <c r="K406" s="19">
        <v>42000</v>
      </c>
      <c r="L406" s="20">
        <v>0</v>
      </c>
      <c r="M406" s="19">
        <f t="shared" si="24"/>
        <v>126000</v>
      </c>
      <c r="N406" s="19">
        <v>126000</v>
      </c>
      <c r="O406" s="4">
        <v>28000</v>
      </c>
      <c r="P406" s="17" t="s">
        <v>76</v>
      </c>
      <c r="Q406" s="17" t="s">
        <v>40</v>
      </c>
      <c r="R406" t="str">
        <f t="shared" si="25"/>
        <v>OK</v>
      </c>
      <c r="S406" s="2">
        <f t="shared" si="26"/>
        <v>1</v>
      </c>
      <c r="T406" s="35">
        <f t="shared" si="27"/>
        <v>42000</v>
      </c>
    </row>
    <row r="407" spans="1:20" x14ac:dyDescent="0.25">
      <c r="A407" s="21">
        <v>100406</v>
      </c>
      <c r="B407" s="22">
        <v>46214</v>
      </c>
      <c r="C407" s="23" t="s">
        <v>16</v>
      </c>
      <c r="D407" s="17" t="s">
        <v>17</v>
      </c>
      <c r="E407" s="23" t="s">
        <v>37</v>
      </c>
      <c r="F407" s="23" t="s">
        <v>27</v>
      </c>
      <c r="G407" s="17" t="s">
        <v>38</v>
      </c>
      <c r="H407" s="23" t="s">
        <v>217</v>
      </c>
      <c r="I407" s="23" t="s">
        <v>22</v>
      </c>
      <c r="J407" s="24">
        <v>1</v>
      </c>
      <c r="K407" s="25">
        <v>26000</v>
      </c>
      <c r="L407" s="26">
        <v>0</v>
      </c>
      <c r="M407" s="19">
        <f t="shared" si="24"/>
        <v>26000</v>
      </c>
      <c r="N407" s="25">
        <v>26000</v>
      </c>
      <c r="O407" s="4">
        <v>15000</v>
      </c>
      <c r="P407" s="27" t="s">
        <v>23</v>
      </c>
      <c r="Q407" s="17" t="s">
        <v>64</v>
      </c>
      <c r="R407" t="str">
        <f t="shared" si="25"/>
        <v>OK</v>
      </c>
      <c r="S407" s="2">
        <f t="shared" si="26"/>
        <v>1</v>
      </c>
      <c r="T407" s="35">
        <f t="shared" si="27"/>
        <v>11000</v>
      </c>
    </row>
    <row r="408" spans="1:20" x14ac:dyDescent="0.25">
      <c r="A408" s="14">
        <v>100407</v>
      </c>
      <c r="B408" s="15">
        <v>46222</v>
      </c>
      <c r="C408" s="16" t="s">
        <v>42</v>
      </c>
      <c r="D408" s="17" t="s">
        <v>26</v>
      </c>
      <c r="E408" s="16" t="s">
        <v>43</v>
      </c>
      <c r="F408" s="16" t="s">
        <v>27</v>
      </c>
      <c r="G408" s="17" t="s">
        <v>33</v>
      </c>
      <c r="H408" s="16" t="s">
        <v>201</v>
      </c>
      <c r="I408" s="16" t="s">
        <v>30</v>
      </c>
      <c r="J408" s="18">
        <v>2</v>
      </c>
      <c r="K408" s="19">
        <v>32000</v>
      </c>
      <c r="L408" s="20">
        <v>0.1</v>
      </c>
      <c r="M408" s="19">
        <f t="shared" si="24"/>
        <v>57600</v>
      </c>
      <c r="N408" s="19">
        <v>57600</v>
      </c>
      <c r="O408" s="4">
        <v>19000</v>
      </c>
      <c r="P408" s="17" t="s">
        <v>23</v>
      </c>
      <c r="Q408" s="17" t="s">
        <v>31</v>
      </c>
      <c r="R408" t="str">
        <f t="shared" si="25"/>
        <v>OK</v>
      </c>
      <c r="S408" s="2">
        <f t="shared" si="26"/>
        <v>1</v>
      </c>
      <c r="T408" s="35">
        <f t="shared" si="27"/>
        <v>19600</v>
      </c>
    </row>
    <row r="409" spans="1:20" x14ac:dyDescent="0.25">
      <c r="A409" s="21">
        <v>100408</v>
      </c>
      <c r="B409" s="22">
        <v>46139</v>
      </c>
      <c r="C409" s="23" t="s">
        <v>35</v>
      </c>
      <c r="D409" s="17" t="s">
        <v>36</v>
      </c>
      <c r="E409" s="23" t="s">
        <v>37</v>
      </c>
      <c r="F409" s="23" t="s">
        <v>27</v>
      </c>
      <c r="G409" s="17" t="s">
        <v>28</v>
      </c>
      <c r="H409" s="23" t="s">
        <v>93</v>
      </c>
      <c r="I409" s="23" t="s">
        <v>30</v>
      </c>
      <c r="J409" s="24">
        <v>1</v>
      </c>
      <c r="K409" s="25">
        <v>165000</v>
      </c>
      <c r="L409" s="26">
        <v>0.15</v>
      </c>
      <c r="M409" s="19">
        <f t="shared" si="24"/>
        <v>140250</v>
      </c>
      <c r="N409" s="25">
        <v>140250</v>
      </c>
      <c r="O409" s="4">
        <v>112000</v>
      </c>
      <c r="P409" s="27" t="s">
        <v>23</v>
      </c>
      <c r="Q409" s="17" t="s">
        <v>31</v>
      </c>
      <c r="R409" t="str">
        <f t="shared" si="25"/>
        <v>OK</v>
      </c>
      <c r="S409" s="2">
        <f t="shared" si="26"/>
        <v>1</v>
      </c>
      <c r="T409" s="35">
        <f t="shared" si="27"/>
        <v>28250</v>
      </c>
    </row>
    <row r="410" spans="1:20" x14ac:dyDescent="0.25">
      <c r="A410" s="14">
        <v>100409</v>
      </c>
      <c r="B410" s="15">
        <v>46180</v>
      </c>
      <c r="C410" s="16" t="s">
        <v>35</v>
      </c>
      <c r="D410" s="17" t="s">
        <v>36</v>
      </c>
      <c r="E410" s="16" t="s">
        <v>37</v>
      </c>
      <c r="F410" s="16" t="s">
        <v>44</v>
      </c>
      <c r="G410" s="17" t="s">
        <v>241</v>
      </c>
      <c r="H410" s="16" t="s">
        <v>96</v>
      </c>
      <c r="I410" s="16" t="s">
        <v>30</v>
      </c>
      <c r="J410" s="18">
        <v>2</v>
      </c>
      <c r="K410" s="19">
        <v>6500</v>
      </c>
      <c r="L410" s="20">
        <v>0.1</v>
      </c>
      <c r="M410" s="19">
        <f t="shared" si="24"/>
        <v>11700</v>
      </c>
      <c r="N410" s="19">
        <v>11700</v>
      </c>
      <c r="O410" s="4">
        <v>2200</v>
      </c>
      <c r="P410" s="17" t="s">
        <v>23</v>
      </c>
      <c r="Q410" s="17" t="s">
        <v>47</v>
      </c>
      <c r="R410" t="str">
        <f t="shared" si="25"/>
        <v>OK</v>
      </c>
      <c r="S410" s="2">
        <f t="shared" si="26"/>
        <v>1</v>
      </c>
      <c r="T410" s="35">
        <f t="shared" si="27"/>
        <v>7300</v>
      </c>
    </row>
    <row r="411" spans="1:20" x14ac:dyDescent="0.25">
      <c r="A411" s="21">
        <v>100410</v>
      </c>
      <c r="B411" s="22">
        <v>46137</v>
      </c>
      <c r="C411" s="23" t="s">
        <v>55</v>
      </c>
      <c r="D411" s="17" t="s">
        <v>56</v>
      </c>
      <c r="E411" s="23" t="s">
        <v>18</v>
      </c>
      <c r="F411" s="23" t="s">
        <v>27</v>
      </c>
      <c r="G411" s="17" t="s">
        <v>33</v>
      </c>
      <c r="H411" s="23" t="s">
        <v>124</v>
      </c>
      <c r="I411" s="23" t="s">
        <v>30</v>
      </c>
      <c r="J411" s="24">
        <v>1</v>
      </c>
      <c r="K411" s="25">
        <v>32000</v>
      </c>
      <c r="L411" s="26">
        <v>0.15</v>
      </c>
      <c r="M411" s="19">
        <f t="shared" si="24"/>
        <v>27200</v>
      </c>
      <c r="N411" s="25">
        <v>27200</v>
      </c>
      <c r="O411" s="4">
        <v>19000</v>
      </c>
      <c r="P411" s="27" t="s">
        <v>23</v>
      </c>
      <c r="Q411" s="17" t="s">
        <v>40</v>
      </c>
      <c r="R411" t="str">
        <f t="shared" si="25"/>
        <v>OK</v>
      </c>
      <c r="S411" s="2">
        <f t="shared" si="26"/>
        <v>1</v>
      </c>
      <c r="T411" s="35">
        <f t="shared" si="27"/>
        <v>8200</v>
      </c>
    </row>
    <row r="412" spans="1:20" x14ac:dyDescent="0.25">
      <c r="A412" s="14">
        <v>100411</v>
      </c>
      <c r="B412" s="15">
        <v>46080</v>
      </c>
      <c r="C412" s="16" t="s">
        <v>32</v>
      </c>
      <c r="D412" s="17" t="s">
        <v>17</v>
      </c>
      <c r="E412" s="16" t="s">
        <v>37</v>
      </c>
      <c r="F412" s="16" t="s">
        <v>19</v>
      </c>
      <c r="G412" s="17" t="s">
        <v>20</v>
      </c>
      <c r="H412" s="16" t="s">
        <v>225</v>
      </c>
      <c r="I412" s="16" t="s">
        <v>30</v>
      </c>
      <c r="J412" s="18">
        <v>2</v>
      </c>
      <c r="K412" s="19">
        <v>58000</v>
      </c>
      <c r="L412" s="20">
        <v>0.2</v>
      </c>
      <c r="M412" s="19">
        <f t="shared" si="24"/>
        <v>92800</v>
      </c>
      <c r="N412" s="19">
        <v>92800</v>
      </c>
      <c r="O412" s="4">
        <v>39000</v>
      </c>
      <c r="P412" s="17" t="s">
        <v>76</v>
      </c>
      <c r="Q412" s="17" t="s">
        <v>31</v>
      </c>
      <c r="R412" t="str">
        <f t="shared" si="25"/>
        <v>OK</v>
      </c>
      <c r="S412" s="2">
        <f t="shared" si="26"/>
        <v>1</v>
      </c>
      <c r="T412" s="35">
        <f t="shared" si="27"/>
        <v>14800</v>
      </c>
    </row>
    <row r="413" spans="1:20" x14ac:dyDescent="0.25">
      <c r="A413" s="21">
        <v>100412</v>
      </c>
      <c r="B413" s="22">
        <v>46194</v>
      </c>
      <c r="C413" s="23" t="s">
        <v>50</v>
      </c>
      <c r="D413" s="17" t="s">
        <v>51</v>
      </c>
      <c r="E413" s="23" t="s">
        <v>37</v>
      </c>
      <c r="F413" s="23" t="s">
        <v>27</v>
      </c>
      <c r="G413" s="17" t="s">
        <v>28</v>
      </c>
      <c r="H413" s="23" t="s">
        <v>77</v>
      </c>
      <c r="I413" s="23" t="s">
        <v>30</v>
      </c>
      <c r="J413" s="24">
        <v>5</v>
      </c>
      <c r="K413" s="25">
        <v>165000</v>
      </c>
      <c r="L413" s="26">
        <v>0.1</v>
      </c>
      <c r="M413" s="19">
        <f t="shared" si="24"/>
        <v>742500</v>
      </c>
      <c r="N413" s="25">
        <v>742500</v>
      </c>
      <c r="O413" s="4">
        <v>112000</v>
      </c>
      <c r="P413" s="27" t="s">
        <v>23</v>
      </c>
      <c r="Q413" s="17" t="s">
        <v>84</v>
      </c>
      <c r="R413" t="str">
        <f t="shared" si="25"/>
        <v>OK</v>
      </c>
      <c r="S413" s="2">
        <f t="shared" si="26"/>
        <v>1</v>
      </c>
      <c r="T413" s="35">
        <f t="shared" si="27"/>
        <v>182500</v>
      </c>
    </row>
    <row r="414" spans="1:20" x14ac:dyDescent="0.25">
      <c r="A414" s="14">
        <v>100413</v>
      </c>
      <c r="B414" s="15">
        <v>46177</v>
      </c>
      <c r="C414" s="16" t="s">
        <v>55</v>
      </c>
      <c r="D414" s="17" t="s">
        <v>56</v>
      </c>
      <c r="E414" s="16" t="s">
        <v>43</v>
      </c>
      <c r="F414" s="16" t="s">
        <v>19</v>
      </c>
      <c r="G414" s="17" t="s">
        <v>20</v>
      </c>
      <c r="H414" s="16" t="s">
        <v>97</v>
      </c>
      <c r="I414" s="16" t="s">
        <v>22</v>
      </c>
      <c r="J414" s="18">
        <v>2</v>
      </c>
      <c r="K414" s="19">
        <v>58000</v>
      </c>
      <c r="L414" s="20">
        <v>0</v>
      </c>
      <c r="M414" s="19">
        <f t="shared" si="24"/>
        <v>116000</v>
      </c>
      <c r="N414" s="19">
        <v>116000</v>
      </c>
      <c r="O414" s="4">
        <v>39000</v>
      </c>
      <c r="P414" s="17" t="s">
        <v>23</v>
      </c>
      <c r="Q414" s="17" t="s">
        <v>24</v>
      </c>
      <c r="R414" t="str">
        <f t="shared" si="25"/>
        <v>OK</v>
      </c>
      <c r="S414" s="2">
        <f t="shared" si="26"/>
        <v>1</v>
      </c>
      <c r="T414" s="35">
        <f t="shared" si="27"/>
        <v>38000</v>
      </c>
    </row>
    <row r="415" spans="1:20" x14ac:dyDescent="0.25">
      <c r="A415" s="21">
        <v>100414</v>
      </c>
      <c r="B415" s="22">
        <v>46096</v>
      </c>
      <c r="C415" s="23" t="s">
        <v>50</v>
      </c>
      <c r="D415" s="17" t="s">
        <v>51</v>
      </c>
      <c r="E415" s="23" t="s">
        <v>43</v>
      </c>
      <c r="F415" s="23" t="s">
        <v>19</v>
      </c>
      <c r="G415" s="17" t="s">
        <v>52</v>
      </c>
      <c r="H415" s="23" t="s">
        <v>182</v>
      </c>
      <c r="I415" s="23" t="s">
        <v>30</v>
      </c>
      <c r="J415" s="24">
        <v>1</v>
      </c>
      <c r="K415" s="25">
        <v>42000</v>
      </c>
      <c r="L415" s="26">
        <v>0.1</v>
      </c>
      <c r="M415" s="19">
        <f t="shared" si="24"/>
        <v>37800</v>
      </c>
      <c r="N415" s="25">
        <v>37800</v>
      </c>
      <c r="O415" s="4">
        <v>28000</v>
      </c>
      <c r="P415" s="27" t="s">
        <v>23</v>
      </c>
      <c r="Q415" s="17" t="s">
        <v>84</v>
      </c>
      <c r="R415" t="str">
        <f t="shared" si="25"/>
        <v>OK</v>
      </c>
      <c r="S415" s="2">
        <f t="shared" si="26"/>
        <v>1</v>
      </c>
      <c r="T415" s="35">
        <f t="shared" si="27"/>
        <v>9800</v>
      </c>
    </row>
    <row r="416" spans="1:20" x14ac:dyDescent="0.25">
      <c r="A416" s="14">
        <v>100415</v>
      </c>
      <c r="B416" s="15">
        <v>46119</v>
      </c>
      <c r="C416" s="16" t="s">
        <v>25</v>
      </c>
      <c r="D416" s="17" t="s">
        <v>26</v>
      </c>
      <c r="E416" s="16" t="s">
        <v>43</v>
      </c>
      <c r="F416" s="16" t="s">
        <v>44</v>
      </c>
      <c r="G416" s="17" t="s">
        <v>241</v>
      </c>
      <c r="H416" s="16" t="s">
        <v>119</v>
      </c>
      <c r="I416" s="16" t="s">
        <v>30</v>
      </c>
      <c r="J416" s="18">
        <v>2</v>
      </c>
      <c r="K416" s="19">
        <v>6500</v>
      </c>
      <c r="L416" s="20">
        <v>0.05</v>
      </c>
      <c r="M416" s="19">
        <f t="shared" si="24"/>
        <v>12350</v>
      </c>
      <c r="N416" s="19">
        <v>12350</v>
      </c>
      <c r="O416" s="4">
        <v>2200</v>
      </c>
      <c r="P416" s="17" t="s">
        <v>23</v>
      </c>
      <c r="Q416" s="17" t="s">
        <v>47</v>
      </c>
      <c r="R416" t="str">
        <f t="shared" si="25"/>
        <v>OK</v>
      </c>
      <c r="S416" s="2">
        <f t="shared" si="26"/>
        <v>1</v>
      </c>
      <c r="T416" s="35">
        <f t="shared" si="27"/>
        <v>7950</v>
      </c>
    </row>
    <row r="417" spans="1:20" x14ac:dyDescent="0.25">
      <c r="A417" s="21">
        <v>100416</v>
      </c>
      <c r="B417" s="22">
        <v>46028</v>
      </c>
      <c r="C417" s="23" t="s">
        <v>55</v>
      </c>
      <c r="D417" s="17" t="s">
        <v>56</v>
      </c>
      <c r="E417" s="23" t="s">
        <v>18</v>
      </c>
      <c r="F417" s="23" t="s">
        <v>27</v>
      </c>
      <c r="G417" s="17" t="s">
        <v>38</v>
      </c>
      <c r="H417" s="23" t="s">
        <v>237</v>
      </c>
      <c r="I417" s="23" t="s">
        <v>22</v>
      </c>
      <c r="J417" s="24">
        <v>4</v>
      </c>
      <c r="K417" s="25">
        <v>26000</v>
      </c>
      <c r="L417" s="26">
        <v>0</v>
      </c>
      <c r="M417" s="19">
        <f t="shared" si="24"/>
        <v>104000</v>
      </c>
      <c r="N417" s="25">
        <v>104000</v>
      </c>
      <c r="O417" s="4">
        <v>15000</v>
      </c>
      <c r="P417" s="27" t="s">
        <v>76</v>
      </c>
      <c r="Q417" s="17" t="s">
        <v>58</v>
      </c>
      <c r="R417" t="str">
        <f t="shared" si="25"/>
        <v>OK</v>
      </c>
      <c r="S417" s="2">
        <f t="shared" si="26"/>
        <v>1</v>
      </c>
      <c r="T417" s="35">
        <f t="shared" si="27"/>
        <v>44000</v>
      </c>
    </row>
    <row r="418" spans="1:20" x14ac:dyDescent="0.25">
      <c r="A418" s="14">
        <v>100417</v>
      </c>
      <c r="B418" s="15">
        <v>46066</v>
      </c>
      <c r="C418" s="16" t="s">
        <v>55</v>
      </c>
      <c r="D418" s="17" t="s">
        <v>56</v>
      </c>
      <c r="E418" s="16" t="s">
        <v>37</v>
      </c>
      <c r="F418" s="16" t="s">
        <v>27</v>
      </c>
      <c r="G418" s="17" t="s">
        <v>28</v>
      </c>
      <c r="H418" s="16" t="s">
        <v>204</v>
      </c>
      <c r="I418" s="16" t="s">
        <v>30</v>
      </c>
      <c r="J418" s="18">
        <v>4</v>
      </c>
      <c r="K418" s="19">
        <v>165000</v>
      </c>
      <c r="L418" s="20">
        <v>0.1</v>
      </c>
      <c r="M418" s="19">
        <f t="shared" si="24"/>
        <v>594000</v>
      </c>
      <c r="N418" s="19">
        <v>594000</v>
      </c>
      <c r="O418" s="4">
        <v>112000</v>
      </c>
      <c r="P418" s="17" t="s">
        <v>23</v>
      </c>
      <c r="Q418" s="17" t="s">
        <v>47</v>
      </c>
      <c r="R418" t="str">
        <f t="shared" si="25"/>
        <v>OK</v>
      </c>
      <c r="S418" s="2">
        <f t="shared" si="26"/>
        <v>1</v>
      </c>
      <c r="T418" s="35">
        <f t="shared" si="27"/>
        <v>146000</v>
      </c>
    </row>
    <row r="419" spans="1:20" x14ac:dyDescent="0.25">
      <c r="A419" s="21">
        <v>100418</v>
      </c>
      <c r="B419" s="22">
        <v>46214</v>
      </c>
      <c r="C419" s="23" t="s">
        <v>55</v>
      </c>
      <c r="D419" s="17" t="s">
        <v>56</v>
      </c>
      <c r="E419" s="23" t="s">
        <v>43</v>
      </c>
      <c r="F419" s="23" t="s">
        <v>27</v>
      </c>
      <c r="G419" s="17" t="s">
        <v>38</v>
      </c>
      <c r="H419" s="23" t="s">
        <v>163</v>
      </c>
      <c r="I419" s="23" t="s">
        <v>30</v>
      </c>
      <c r="J419" s="24">
        <v>3</v>
      </c>
      <c r="K419" s="25">
        <v>26000</v>
      </c>
      <c r="L419" s="26">
        <v>0</v>
      </c>
      <c r="M419" s="19">
        <f t="shared" si="24"/>
        <v>78000</v>
      </c>
      <c r="N419" s="25">
        <v>78000</v>
      </c>
      <c r="O419" s="4">
        <v>15000</v>
      </c>
      <c r="P419" s="27" t="s">
        <v>23</v>
      </c>
      <c r="Q419" s="17" t="s">
        <v>24</v>
      </c>
      <c r="R419" t="str">
        <f t="shared" si="25"/>
        <v>OK</v>
      </c>
      <c r="S419" s="2">
        <f t="shared" si="26"/>
        <v>1</v>
      </c>
      <c r="T419" s="35">
        <f t="shared" si="27"/>
        <v>33000</v>
      </c>
    </row>
    <row r="420" spans="1:20" x14ac:dyDescent="0.25">
      <c r="A420" s="14">
        <v>100419</v>
      </c>
      <c r="B420" s="15">
        <v>46256</v>
      </c>
      <c r="C420" s="16" t="s">
        <v>55</v>
      </c>
      <c r="D420" s="17" t="s">
        <v>56</v>
      </c>
      <c r="E420" s="16" t="s">
        <v>43</v>
      </c>
      <c r="F420" s="16" t="s">
        <v>19</v>
      </c>
      <c r="G420" s="17" t="s">
        <v>20</v>
      </c>
      <c r="H420" s="16" t="s">
        <v>238</v>
      </c>
      <c r="I420" s="16" t="s">
        <v>30</v>
      </c>
      <c r="J420" s="18">
        <v>4</v>
      </c>
      <c r="K420" s="19">
        <v>58000</v>
      </c>
      <c r="L420" s="20">
        <v>0.05</v>
      </c>
      <c r="M420" s="19">
        <f t="shared" si="24"/>
        <v>220400</v>
      </c>
      <c r="N420" s="19">
        <v>220400</v>
      </c>
      <c r="O420" s="4">
        <v>39000</v>
      </c>
      <c r="P420" s="17" t="s">
        <v>23</v>
      </c>
      <c r="Q420" s="17" t="s">
        <v>64</v>
      </c>
      <c r="R420" t="str">
        <f t="shared" si="25"/>
        <v>OK</v>
      </c>
      <c r="S420" s="2">
        <f t="shared" si="26"/>
        <v>1</v>
      </c>
      <c r="T420" s="35">
        <f t="shared" si="27"/>
        <v>64400</v>
      </c>
    </row>
    <row r="421" spans="1:20" x14ac:dyDescent="0.25">
      <c r="A421" s="28">
        <v>100420</v>
      </c>
      <c r="B421" s="29">
        <v>46079</v>
      </c>
      <c r="C421" s="30" t="s">
        <v>35</v>
      </c>
      <c r="D421" s="17" t="s">
        <v>36</v>
      </c>
      <c r="E421" s="30" t="s">
        <v>18</v>
      </c>
      <c r="F421" s="23" t="s">
        <v>27</v>
      </c>
      <c r="G421" s="17" t="s">
        <v>28</v>
      </c>
      <c r="H421" s="30" t="s">
        <v>86</v>
      </c>
      <c r="I421" s="30" t="s">
        <v>30</v>
      </c>
      <c r="J421" s="31">
        <v>2</v>
      </c>
      <c r="K421" s="32">
        <v>165000</v>
      </c>
      <c r="L421" s="33">
        <v>0.05</v>
      </c>
      <c r="M421" s="19">
        <f t="shared" si="24"/>
        <v>313500</v>
      </c>
      <c r="N421" s="32">
        <v>313500</v>
      </c>
      <c r="O421" s="4">
        <v>112000</v>
      </c>
      <c r="P421" s="6" t="s">
        <v>23</v>
      </c>
      <c r="Q421" s="17" t="s">
        <v>64</v>
      </c>
      <c r="R421" t="str">
        <f t="shared" si="25"/>
        <v>OK</v>
      </c>
      <c r="S421" s="2">
        <f t="shared" si="26"/>
        <v>1</v>
      </c>
      <c r="T421" s="35">
        <f t="shared" si="27"/>
        <v>89500</v>
      </c>
    </row>
    <row r="422" spans="1:20" x14ac:dyDescent="0.25">
      <c r="A422"/>
      <c r="B422"/>
      <c r="C422"/>
      <c r="E422"/>
      <c r="F422"/>
      <c r="H422"/>
      <c r="I422"/>
      <c r="J422"/>
      <c r="K422"/>
      <c r="L422"/>
      <c r="N422"/>
    </row>
    <row r="423" spans="1:20" x14ac:dyDescent="0.25">
      <c r="A423"/>
      <c r="B423"/>
      <c r="C423"/>
      <c r="E423"/>
      <c r="F423"/>
      <c r="H423"/>
      <c r="I423"/>
      <c r="J423"/>
      <c r="K423"/>
      <c r="L423"/>
      <c r="N423"/>
    </row>
    <row r="424" spans="1:20" x14ac:dyDescent="0.25">
      <c r="A424"/>
      <c r="B424"/>
      <c r="C424"/>
      <c r="E424"/>
      <c r="F424"/>
      <c r="H424"/>
      <c r="I424"/>
      <c r="J424"/>
      <c r="K424"/>
      <c r="L424"/>
      <c r="N424"/>
    </row>
    <row r="425" spans="1:20" x14ac:dyDescent="0.25">
      <c r="A425"/>
      <c r="B425"/>
      <c r="C425"/>
      <c r="E425"/>
      <c r="F425"/>
      <c r="H425"/>
      <c r="I425"/>
      <c r="J425"/>
      <c r="K425"/>
      <c r="L425"/>
      <c r="N425"/>
    </row>
    <row r="426" spans="1:20" x14ac:dyDescent="0.25">
      <c r="A426"/>
      <c r="B426"/>
      <c r="C426"/>
      <c r="E426"/>
      <c r="F426"/>
      <c r="H426"/>
      <c r="I426"/>
      <c r="J426"/>
      <c r="K426"/>
      <c r="L426"/>
      <c r="N426"/>
    </row>
    <row r="427" spans="1:20" x14ac:dyDescent="0.25">
      <c r="A427"/>
      <c r="B427"/>
      <c r="C427"/>
      <c r="E427"/>
      <c r="F427"/>
      <c r="H427"/>
      <c r="I427"/>
      <c r="J427"/>
      <c r="K427"/>
      <c r="L427"/>
      <c r="N427"/>
    </row>
    <row r="428" spans="1:20" x14ac:dyDescent="0.25">
      <c r="A428"/>
      <c r="B428"/>
      <c r="C428"/>
      <c r="E428"/>
      <c r="F428"/>
      <c r="H428"/>
      <c r="I428"/>
      <c r="J428"/>
      <c r="K428"/>
      <c r="L428"/>
      <c r="N428"/>
    </row>
    <row r="429" spans="1:20" x14ac:dyDescent="0.25">
      <c r="A429"/>
      <c r="B429"/>
      <c r="C429"/>
      <c r="E429"/>
      <c r="F429"/>
      <c r="H429"/>
      <c r="I429"/>
      <c r="J429"/>
      <c r="K429"/>
      <c r="L429"/>
      <c r="N429"/>
    </row>
    <row r="430" spans="1:20" x14ac:dyDescent="0.25">
      <c r="A430"/>
      <c r="B430"/>
      <c r="C430"/>
      <c r="E430"/>
      <c r="F430"/>
      <c r="H430"/>
      <c r="I430"/>
      <c r="J430"/>
      <c r="K430"/>
      <c r="L430"/>
      <c r="N430"/>
    </row>
    <row r="431" spans="1:20" x14ac:dyDescent="0.25">
      <c r="A431"/>
      <c r="B431"/>
      <c r="C431"/>
      <c r="E431"/>
      <c r="F431"/>
      <c r="H431"/>
      <c r="I431"/>
      <c r="J431"/>
      <c r="K431"/>
      <c r="L431"/>
      <c r="N431"/>
    </row>
    <row r="432" spans="1:20" x14ac:dyDescent="0.25">
      <c r="A432"/>
      <c r="B432"/>
      <c r="C432"/>
      <c r="E432"/>
      <c r="F432"/>
      <c r="H432"/>
      <c r="I432"/>
      <c r="J432"/>
      <c r="K432"/>
      <c r="L432"/>
      <c r="N432"/>
    </row>
    <row r="433" spans="13:19" customFormat="1" x14ac:dyDescent="0.25">
      <c r="M433" s="4"/>
      <c r="O433" s="4"/>
      <c r="S433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B92A15BD33845908FA881E4B8B35F" ma:contentTypeVersion="19" ma:contentTypeDescription="Create a new document." ma:contentTypeScope="" ma:versionID="5f4c3de6110b8020a2cdcf4e062ecf55">
  <xsd:schema xmlns:xsd="http://www.w3.org/2001/XMLSchema" xmlns:xs="http://www.w3.org/2001/XMLSchema" xmlns:p="http://schemas.microsoft.com/office/2006/metadata/properties" xmlns:ns2="040086fd-9697-4d8b-885c-80d62294bd9a" xmlns:ns3="7a02f105-c32a-4639-a5ba-c1a8d082ecb6" targetNamespace="http://schemas.microsoft.com/office/2006/metadata/properties" ma:root="true" ma:fieldsID="4a5c2cddd3854a8eb0d7154e086e26e1" ns2:_="" ns3:_="">
    <xsd:import namespace="040086fd-9697-4d8b-885c-80d62294bd9a"/>
    <xsd:import namespace="7a02f105-c32a-4639-a5ba-c1a8d082e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086fd-9697-4d8b-885c-80d62294b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06d58ad-f71d-4181-a183-e1ce6e028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2f105-c32a-4639-a5ba-c1a8d082ecb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23fad05-285d-4899-ba49-b97787b09cf5}" ma:internalName="TaxCatchAll" ma:showField="CatchAllData" ma:web="7a02f105-c32a-4639-a5ba-c1a8d082e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0086fd-9697-4d8b-885c-80d62294bd9a">
      <Terms xmlns="http://schemas.microsoft.com/office/infopath/2007/PartnerControls"/>
    </lcf76f155ced4ddcb4097134ff3c332f>
    <TaxCatchAll xmlns="7a02f105-c32a-4639-a5ba-c1a8d082ecb6" xsi:nil="true"/>
  </documentManagement>
</p:properties>
</file>

<file path=customXml/itemProps1.xml><?xml version="1.0" encoding="utf-8"?>
<ds:datastoreItem xmlns:ds="http://schemas.openxmlformats.org/officeDocument/2006/customXml" ds:itemID="{7482097C-C940-4AB0-ADD9-58EA2DC1E74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E956BD-70A5-45C5-A6F9-F800251970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0086fd-9697-4d8b-885c-80d62294bd9a"/>
    <ds:schemaRef ds:uri="7a02f105-c32a-4639-a5ba-c1a8d082e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4D6F77-C084-4194-A014-BAFAA628CA6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E004535-073B-486A-83B4-6B7015171E15}">
  <ds:schemaRefs>
    <ds:schemaRef ds:uri="http://schemas.microsoft.com/office/2006/metadata/properties"/>
    <ds:schemaRef ds:uri="http://schemas.microsoft.com/office/infopath/2007/PartnerControls"/>
    <ds:schemaRef ds:uri="040086fd-9697-4d8b-885c-80d62294bd9a"/>
    <ds:schemaRef ds:uri="7a02f105-c32a-4639-a5ba-c1a8d082e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in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Olamiposi Heritage</dc:creator>
  <cp:keywords/>
  <dc:description/>
  <cp:lastModifiedBy>Olamiposi Heritage</cp:lastModifiedBy>
  <cp:revision/>
  <dcterms:created xsi:type="dcterms:W3CDTF">2026-09-01T12:33:26Z</dcterms:created>
  <dcterms:modified xsi:type="dcterms:W3CDTF">2026-09-13T22:38:12Z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0x01010051CB92A15BD33845908FA881E4B8B35F</vt:lpwstr>
  </property>
</Properties>
</file>